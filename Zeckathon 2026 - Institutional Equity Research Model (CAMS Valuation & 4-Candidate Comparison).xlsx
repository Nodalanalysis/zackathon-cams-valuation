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IC Summary &amp; Multi-Candidate" sheetId="1" r:id="rId5"/>
    <sheet state="visible" name="2. CAMS Integrated DCF" sheetId="2" r:id="rId6"/>
    <sheet state="visible" name="3. Financial DD &amp; Cash Reconcil" sheetId="3" r:id="rId7"/>
    <sheet state="visible" name="4. Scenario &amp; Regulatory Shock" sheetId="4" r:id="rId8"/>
  </sheets>
  <definedNames/>
  <calcPr/>
</workbook>
</file>

<file path=xl/sharedStrings.xml><?xml version="1.0" encoding="utf-8"?>
<sst xmlns="http://schemas.openxmlformats.org/spreadsheetml/2006/main" count="505" uniqueCount="404">
  <si>
    <t>ZECKATHON 2026 | INSTITUTIONAL CAPITAL MARKETS INFRASTRUCTURE FUND (₹500 CR MANDATE)</t>
  </si>
  <si>
    <t>INVESTMENT COMMITTEE (IC) MEMORANDUM &amp; 4-CANDIDATE ALLOCATION DECISION</t>
  </si>
  <si>
    <t>CAMS LIMITED (NSE: CAMS) | INSTITUTIONAL 3-STATEMENT INTEGRATED DCF VALUATION MODEL</t>
  </si>
  <si>
    <t>Fund Size: ₹500.00 Cr | Strategy: High-Conviction Long-Only Monopolistic Infrastructure | Selected Winner: CAMS Limited (100% Allocation / ₹500 Cr)</t>
  </si>
  <si>
    <t>FINANCIAL DUE DILIGENCE, FORENSIC CASH FLOW RECONCILIATION &amp; QUALITY OF EARNINGS AUDIT</t>
  </si>
  <si>
    <t>RECOMMENDED CONVICTION WINNER</t>
  </si>
  <si>
    <t>Long-Term Unlevered Free Cash Flow Projections (FY23A - FY30E), Cost of Capital (WACC), and Equity Waterfall</t>
  </si>
  <si>
    <t>Deep-Dive Accounting Audit Across CAMS Ltd, KFin Technologies, CDSL Ltd, and BSE Ltd</t>
  </si>
  <si>
    <t>Objective: Screen for earnings manipulation, aggressive capitalization, working capital drag, and customer concentration</t>
  </si>
  <si>
    <t>Target Base Fair Value: ₹825.00 / Share | Current Market Price: ₹675.45 | Undervalued Upside: +22.14%</t>
  </si>
  <si>
    <t>SCENARIO MATRIX, REGULATORY VOLUME SHOCK TRANSMISSION &amp; DCF SENSITIVITY</t>
  </si>
  <si>
    <t>],[</t>
  </si>
  <si>
    <t>Stress-Testing ₹500 Cr Capital Markets Portfolio Under Mandatory Regulatory Shocks &amp; Macro Drawdowns</t>
  </si>
  <si>
    <t>1. REPORTED PAT TO OPERATING CASH FLOW (OCF) TO FREE CASH FLOW (FCF) RECONCILIATION</t>
  </si>
  <si>
    <t>BASE CASE VALUATION TARGET</t>
  </si>
  <si>
    <t>Core Mandate Shocks: -30% F&amp;O Derivatives Turnover Contraction &amp; -20% Equity Market Correction</t>
  </si>
  <si>
    <t>DOWNSIDE RISK &amp; MARGIN OF SAFETY</t>
  </si>
  <si>
    <t>DCF VALUATION PARAMETERS &amp; COST OF CAPITAL (WACC)</t>
  </si>
  <si>
    <t>RETURN &amp; CASH GENERATION METRICS</t>
  </si>
  <si>
    <t>CAMS Limited (NSE: CAMS)</t>
  </si>
  <si>
    <t>₹825.00 / Share (+22.14%)</t>
  </si>
  <si>
    <t>1. THREE-TIER SCENARIO ANALYSIS ACROSS ALL 4 CANDIDATE COMPANIES</t>
  </si>
  <si>
    <t>Cash Flow &amp; Earnings Line Item (₹ Cr)</t>
  </si>
  <si>
    <t>₹615.00 / Share (-8.95%)</t>
  </si>
  <si>
    <t>ENTERPRISE VALUE TO EQUITY VALUE WATERFALL BRIDGE</t>
  </si>
  <si>
    <t>48.3% ROCE / 37.0% ROE</t>
  </si>
  <si>
    <t>Accounting Definition / Driver</t>
  </si>
  <si>
    <t>Verdict: 100% Allocation (₹500 Cr) | 66% Equity AAuM Duopoly Leader</t>
  </si>
  <si>
    <t>CAMS Limited (Selected Winner)</t>
  </si>
  <si>
    <t>KFin Technologies</t>
  </si>
  <si>
    <t>CDSL Limited</t>
  </si>
  <si>
    <t>BSE Limited</t>
  </si>
  <si>
    <t>Candidate Spread (Max - Min)</t>
  </si>
  <si>
    <t>Peer Average (Ex-CAMS)</t>
  </si>
  <si>
    <t>Forensic Due Diligence Takeaway</t>
  </si>
  <si>
    <t>DCF Implied Fair Value | CMP ₹675.45 | 37.0x P/E Attractive Anchor</t>
  </si>
  <si>
    <t>Current Market Price (CMP)</t>
  </si>
  <si>
    <t>Reported Net Revenue (FY25/FY26E)</t>
  </si>
  <si>
    <t>Operating gross revenues from core financial services</t>
  </si>
  <si>
    <t>Bear Target Price | Peer Average Downside is -49.0% (Defensive Shield)</t>
  </si>
  <si>
    <t>Candidate Company</t>
  </si>
  <si>
    <t>Zero Debt | 95.9% OCF/PAT Conversion | 83.1% FCF/PAT Conversion</t>
  </si>
  <si>
    <t>₹ / Share</t>
  </si>
  <si>
    <t>Current Price (₹)</t>
  </si>
  <si>
    <t>NSE Closing Price</t>
  </si>
  <si>
    <t>Cumulative PV of Explicit FCFF (FY26E - FY30E)</t>
  </si>
  <si>
    <t>Scenario Name</t>
  </si>
  <si>
    <t>1. CORE PEER VALUATION &amp; OPERATING PERFORMANCE MATRIX</t>
  </si>
  <si>
    <t>Macro / Regulatory Assumption</t>
  </si>
  <si>
    <t>Projected Revenue (₹ Cr)</t>
  </si>
  <si>
    <t>₹ Cr</t>
  </si>
  <si>
    <t>Projected PAT (₹ Cr)</t>
  </si>
  <si>
    <t>Implied EPS (₹)</t>
  </si>
  <si>
    <t>Exit P/E (x)</t>
  </si>
  <si>
    <t>Target Price (₹)</t>
  </si>
  <si>
    <t>Implied Return (%)</t>
  </si>
  <si>
    <t>5-Year explicit forecast horizon</t>
  </si>
  <si>
    <t>Diluted Shares Outstanding</t>
  </si>
  <si>
    <t>Ticker</t>
  </si>
  <si>
    <t>CMP (₹)</t>
  </si>
  <si>
    <t>CAMS Limited</t>
  </si>
  <si>
    <t>Market Cap (₹ Cr)</t>
  </si>
  <si>
    <t>Stock P/E (x)</t>
  </si>
  <si>
    <t>EV/EBITDA (x)</t>
  </si>
  <si>
    <t>Cr Shares</t>
  </si>
  <si>
    <t>P/B (x)</t>
  </si>
  <si>
    <t>Fully Diluted Share Count</t>
  </si>
  <si>
    <t>Book Value (₹)</t>
  </si>
  <si>
    <t>Terminal Year FCFF (FY31E)</t>
  </si>
  <si>
    <t>ROE (%)</t>
  </si>
  <si>
    <t>Bull Case</t>
  </si>
  <si>
    <t>ROCE (%)</t>
  </si>
  <si>
    <t>Equity Rally +15%, Monthly SIP Inflows ₹28,000 Cr</t>
  </si>
  <si>
    <t>Div Yield (%)</t>
  </si>
  <si>
    <t>Base Target (₹)</t>
  </si>
  <si>
    <t>Base Upside (%)</t>
  </si>
  <si>
    <t>Bear Target (₹)</t>
  </si>
  <si>
    <t>Bear Downside (%)</t>
  </si>
  <si>
    <t>IC Verdict &amp; Investment Rationale</t>
  </si>
  <si>
    <t>CAMS</t>
  </si>
  <si>
    <t>CAMS &amp; BSE have highest revenue scale; CAMS is pure-play recurring AuM fee model</t>
  </si>
  <si>
    <t>Operating EBITDA</t>
  </si>
  <si>
    <t>Earnings Before Interest, Tax, Depreciation &amp; Amortisation</t>
  </si>
  <si>
    <t>BSE EBITDA driven by peak weekly F&amp;O volumes; CAMS maintains robust 46.4% EBITDA margin</t>
  </si>
  <si>
    <t>Reported Profit After Tax (PAT)</t>
  </si>
  <si>
    <t>Baseline statutory net profit after tax</t>
  </si>
  <si>
    <t>Base Case (DCF)</t>
  </si>
  <si>
    <t>AuM Expansion +12%, Steady SIP Compounding</t>
  </si>
  <si>
    <t>Baseline statutory net profit after corporate taxes</t>
  </si>
  <si>
    <t>Non-Cash Adjustments (D&amp;A + Stock Comp + Provisions)</t>
  </si>
  <si>
    <t>-</t>
  </si>
  <si>
    <t>Standard depreciation &amp; amortisation added back to net income</t>
  </si>
  <si>
    <t>FY30E FCFF inflated at Terminal Growth (6.5%)</t>
  </si>
  <si>
    <t>Risk-Free Rate (Rf)</t>
  </si>
  <si>
    <t>Predictable, audited non-cash charges across all four candidates</t>
  </si>
  <si>
    <t>Working Capital Changes (ΔNWC &amp; Other Assets)</t>
  </si>
  <si>
    <t>Working capital investment (receivables, unbilled revenue, payables)</t>
  </si>
  <si>
    <t>%</t>
  </si>
  <si>
    <t>Bear Case (Shock)</t>
  </si>
  <si>
    <t>-30% F&amp;O Volume Shock, -20% Broad Equity Drawdown</t>
  </si>
  <si>
    <t>Benchmark 10-Yr Indian G-Sec Yield</t>
  </si>
  <si>
    <t>Terminal Value (TV at FY30E)</t>
  </si>
  <si>
    <t>KFin Tech exhibits negative working capital drag; CAMS collects advance retainers</t>
  </si>
  <si>
    <t>Cash Flow from Operations (OCF)</t>
  </si>
  <si>
    <t>CONVICTION BUY: Duopoly leader (66% AAuM share); 96% OCF conversion; zero exposure to SEBI F&amp;O curbs.</t>
  </si>
  <si>
    <t>Actual cash generated from operational activities</t>
  </si>
  <si>
    <t>KFin Technologies Limited</t>
  </si>
  <si>
    <t>KFINTECH</t>
  </si>
  <si>
    <t>International Expansion Breakeven, SIP Growth +20%</t>
  </si>
  <si>
    <t>Gordon Growth: TV = FCFF31 / (WACC - g)</t>
  </si>
  <si>
    <t>Equity Risk Premium (ERP)</t>
  </si>
  <si>
    <t>Base Case</t>
  </si>
  <si>
    <t>Indian Equity Risk Premium</t>
  </si>
  <si>
    <t>Consensus Revenue Growth +14%, Stable Operating Margin</t>
  </si>
  <si>
    <t>Present Value of Terminal Value (PV of TV)</t>
  </si>
  <si>
    <t>Discounted to FY25 using 5-yr factor</t>
  </si>
  <si>
    <t>Institutional Beta (β)</t>
  </si>
  <si>
    <t>-20% Equity Drawdown, International Execution Drag</t>
  </si>
  <si>
    <t>REJECT: Expensive 41.8x P/E; lower FCF conversion (63%) due to aggressive software capitalization &amp; SE Asia risk.</t>
  </si>
  <si>
    <t>x</t>
  </si>
  <si>
    <t>Actual cash collected from operational activities before capital expenditures</t>
  </si>
  <si>
    <t>Low cyclicality asset-light duopoly beta</t>
  </si>
  <si>
    <t>Less: Total Capital Expenditures (Capex)</t>
  </si>
  <si>
    <t>Retail Trading Boom Resumes, IPO Activity Surge</t>
  </si>
  <si>
    <t>Property, plant, equipment &amp; capitalized software additions</t>
  </si>
  <si>
    <t>CDSL</t>
  </si>
  <si>
    <t>Implied Enterprise Value (EV)</t>
  </si>
  <si>
    <t>Moderate Demat Additions, Regulatory Tariff Cuts</t>
  </si>
  <si>
    <t>KFin capitalizes significant software development expenses into intangibles</t>
  </si>
  <si>
    <t>Free Cash Flow to Firm (FCF = OCF - Capex)</t>
  </si>
  <si>
    <t>Discretionary cash generated available for distribution</t>
  </si>
  <si>
    <t>Retail Trading Freeze, -20% Market Drop, Tariff Slashing</t>
  </si>
  <si>
    <t>REJECT: Extreme overvaluation at 54.3x P/E; deceleration in new demat additions and SEBI transaction tariff cuts.</t>
  </si>
  <si>
    <t>BSE</t>
  </si>
  <si>
    <t>F&amp;O Volume Shifts Fully to Remaining Contracts</t>
  </si>
  <si>
    <t>PV of Explicit FCFF + PV of Terminal Value</t>
  </si>
  <si>
    <t>Consensus Weekly Expiry Normalization</t>
  </si>
  <si>
    <t>Cost of Equity (Ke)</t>
  </si>
  <si>
    <t>REJECT: Vulnerable to SEBI F&amp;O curbs (weekly contract ban, lot size hike); cyclical peak transaction fee risk.</t>
  </si>
  <si>
    <t>Peer Group Benchmark (Ex-CAMS Average)</t>
  </si>
  <si>
    <t>Pure unencumbered cash flow; CAMS generates ₹345 Cr vs KFin's ₹210 Cr</t>
  </si>
  <si>
    <t>Operating Cash Conversion (OCF / PAT %)</t>
  </si>
  <si>
    <t>Quality of earnings ratio: OCF / PAT</t>
  </si>
  <si>
    <t>-30% F&amp;O Turnover Contraction From SEBI Weekly Ban</t>
  </si>
  <si>
    <t>CAPM: Ke = Rf + Beta * ERP</t>
  </si>
  <si>
    <t>Add: Cash, Bank &amp; Liquid Treasury Investments</t>
  </si>
  <si>
    <t>Liquid cash, mutual fund units &amp; bank deposits</t>
  </si>
  <si>
    <t>Pre-Tax Cost of Debt (Kd)</t>
  </si>
  <si>
    <t>Zero interest-bearing bank debt</t>
  </si>
  <si>
    <t>Less: Total Interest-Bearing Debt</t>
  </si>
  <si>
    <t>Pristine zero-debt balance sheet</t>
  </si>
  <si>
    <t>2. TRANSMISSION MECHANISM OF MANDATORY REGULATORY &amp; MACRO SHOCKS</t>
  </si>
  <si>
    <t>Effective Corporate Tax Rate (t)</t>
  </si>
  <si>
    <t>CAMS leads at 95.9% conversion; KFin trails at 85.6% due to working capital drag</t>
  </si>
  <si>
    <t>Standard corporate income tax rate</t>
  </si>
  <si>
    <t>Free Cash Flow Conversion (FCF / PAT %)</t>
  </si>
  <si>
    <t>Shock Vector</t>
  </si>
  <si>
    <t>Implied Fair Equity Value</t>
  </si>
  <si>
    <t>True cash conversion efficiency: FCF / PAT</t>
  </si>
  <si>
    <t>Regulatory / Macro Driver</t>
  </si>
  <si>
    <t>CAMS Limited Transmission</t>
  </si>
  <si>
    <t>KFin Technologies Transmission</t>
  </si>
  <si>
    <t>CDSL Limited Transmission</t>
  </si>
  <si>
    <t>BSE Limited Transmission</t>
  </si>
  <si>
    <t>Capital Preservation Hierarchy</t>
  </si>
  <si>
    <t>Shock 1: -30% F&amp;O Volume Shock</t>
  </si>
  <si>
    <t>SEBI index curbs (1 contract/exchange, 3x lot size hike)</t>
  </si>
  <si>
    <t>ZERO IMPACT: 0.0% revenue exposure to derivatives turnover.</t>
  </si>
  <si>
    <t>ZERO IMPACT: Pure-play RTA; no derivatives volume exposure.</t>
  </si>
  <si>
    <t>LOW IMPACT: Minor drop in margin pledge transactions.</t>
  </si>
  <si>
    <t>CATASTROPHIC IMPACT: Direct hit to ~₹350 Cr weekly options fee revenue.</t>
  </si>
  <si>
    <t>Rank 1: CAMS (Immune) = KFin &gt; CDSL &gt;&gt;&gt; BSE (High Risk)</t>
  </si>
  <si>
    <t>Shock 2: -20% Equity Drawdown</t>
  </si>
  <si>
    <t>Sharp cyclical correction in Nifty/Sensex index levels</t>
  </si>
  <si>
    <t>Total equity value attributable to equity holders</t>
  </si>
  <si>
    <t>RESILIENT: AuM drops only 13% net of monthly SIP inflows (₹25k Cr/mo).</t>
  </si>
  <si>
    <t>MODERATE: Domestic AuM buffered by SIPs; overseas wealth clients cut fees.</t>
  </si>
  <si>
    <t>SEVERE: Retail trading volume collapses; IPO fee revenue drops 40-50%.</t>
  </si>
  <si>
    <t>Weighted Average Cost of Capital (WACC)</t>
  </si>
  <si>
    <t>HIGH: Cash equity delivery &amp; turnover contract severely.</t>
  </si>
  <si>
    <t>CAMS delivers elite 83.1% FCF conversion; KFin drops to 63.1% due to high capex/software</t>
  </si>
  <si>
    <t>Rank 1: CAMS (SIP Buffer) &gt; KFin &gt; CDSL &gt; BSE</t>
  </si>
  <si>
    <t>Capex Intensity (Capex / Revenue %)</t>
  </si>
  <si>
    <t>Shock 3: Fee Realization Scrutiny</t>
  </si>
  <si>
    <t>Institutional hurdle rate / discount rate</t>
  </si>
  <si>
    <t>Capital expenditure as percentage of sales</t>
  </si>
  <si>
    <t>SEBI regulatory scrutiny on investor charges and TER caps</t>
  </si>
  <si>
    <t>PROTECTED: RTA fee is ~3.8 bps of AuM (negligible fraction of AMC TER).</t>
  </si>
  <si>
    <t>PROTECTED: Similar tiered bps model; overseas pricing headwinds.</t>
  </si>
  <si>
    <t>VULNERABLE: Direct SEBI mandates cutting depository transaction tariffs.</t>
  </si>
  <si>
    <t>VULNERABLE: Regulatory fee dispute with SEBI on notional options turnover.</t>
  </si>
  <si>
    <t>Rank 1: CAMS (Negligible TER) = KFin &gt; CDSL &gt; BSE</t>
  </si>
  <si>
    <t>3. CAMS VALUATION SENSITIVITY MATRIX (WACC VS TERMINAL GROWTH RATE)</t>
  </si>
  <si>
    <t>Peers offer negative expected return (-25.8% base / -49.0% bear) vs CAMS (+22.1% base / -9.0% bear)</t>
  </si>
  <si>
    <t>2. ₹500 CRORE FUND DEPLOYMENT PLAN &amp; POSITION SIZING SCHEDULE</t>
  </si>
  <si>
    <t>Implied Target Fair Value Per Share (₹) Matrix (Base Case Target: ₹825.00 / CMP: ₹675.45)</t>
  </si>
  <si>
    <t>Shares outstanding (Cr)</t>
  </si>
  <si>
    <t>3A. 5x5 CAMS IMPLIED TARGET PRICE SENSITIVITY (₹ / SHARE)</t>
  </si>
  <si>
    <t>Long-Term Terminal Growth Rate (g)</t>
  </si>
  <si>
    <t>CAMS operates at ultra-lean 4.0% capex intensity vs KFin at 6.9%</t>
  </si>
  <si>
    <t>Conservative proxy for Indian GDP trend</t>
  </si>
  <si>
    <t>Dividend Payout Ratio (% of PAT)</t>
  </si>
  <si>
    <t>Implied Target Fair Value Per Share</t>
  </si>
  <si>
    <t>Shareholder cash return as percentage of net profit</t>
  </si>
  <si>
    <t>Tranche Number</t>
  </si>
  <si>
    <t>WACC \\ TGR</t>
  </si>
  <si>
    <t>Deployment Window</t>
  </si>
  <si>
    <t>Allocation (₹ Cr)</t>
  </si>
  <si>
    <t>Portfolio Weight (%)</t>
  </si>
  <si>
    <t>Target Price Band (₹)</t>
  </si>
  <si>
    <t>Avg Exec Price (₹)</t>
  </si>
  <si>
    <t>Target Shares (Cr)</t>
  </si>
  <si>
    <t>6.50% (Base)</t>
  </si>
  <si>
    <t>Cumulative Weight (%)</t>
  </si>
  <si>
    <t>CAMS returns superior cash yield to shareholders; BSE retains cash for clearing fund</t>
  </si>
  <si>
    <t>Execution Trigger &amp; Mandate Rationale</t>
  </si>
  <si>
    <t>Tranche 1 (Core Anchor)</t>
  </si>
  <si>
    <t>2. REVENUE CONCENTRATION, CUSTOMER MIX &amp; PRICING POWER BENCHMARK</t>
  </si>
  <si>
    <t>Days 1 - 30 (Immediate)</t>
  </si>
  <si>
    <t>Base Case Institutional Target Price</t>
  </si>
  <si>
    <t>WACC - Terminal Growth Spread</t>
  </si>
  <si>
    <t>₹660.00 - ₹685.00</t>
  </si>
  <si>
    <t>Top 5 Client Concentration</t>
  </si>
  <si>
    <t>Core Product / Service Mix</t>
  </si>
  <si>
    <t>Pricing Mechanism &amp; Power</t>
  </si>
  <si>
    <t>Switching Costs &amp; Moat Durability</t>
  </si>
  <si>
    <t>Key Client Names</t>
  </si>
  <si>
    <t>Contract Duration &amp; Sticky Nature</t>
  </si>
  <si>
    <t>Revenue Cyclicality Score</t>
  </si>
  <si>
    <t>Investment Committee Audit Finding</t>
  </si>
  <si>
    <t>Discount spread (hurdle margin)</t>
  </si>
  <si>
    <t>Current CMP / Implied Upside</t>
  </si>
  <si>
    <t>68.0% (Top 5 AMCs)</t>
  </si>
  <si>
    <t>Immediate core position establishment at baseline valuation (37x P/E, 11.5% WACC anchor).</t>
  </si>
  <si>
    <t>Mutual Fund RTA (87%), Non-MF / Digital / KRA (13%)</t>
  </si>
  <si>
    <t>AuM-linked tiered pricing (~3.8 bps); immune to transaction velocity</t>
  </si>
  <si>
    <t>Tranche 2 (Consolidation Build)</t>
  </si>
  <si>
    <t>Extreme: 30+ year integrated ERP with AMCs; zero AMC defections in 20 yrs</t>
  </si>
  <si>
    <t>Days 31 - 75 (Accumulation)</t>
  </si>
  <si>
    <t>HDFC AMC, ICICI Prudential, SBI MF, Aditya Birla SL, Kotak MF</t>
  </si>
  <si>
    <t>5-year rolling evergreen service agreements</t>
  </si>
  <si>
    <t>LOW (AuM compounding, cushioned by monthly SIP inflows)</t>
  </si>
  <si>
    <t>PRISTINE MOAT: Near-insurmountable competitive advantage; 66% Equity AAuM dominance.</t>
  </si>
  <si>
    <t>₹640.00 - ₹670.00</t>
  </si>
  <si>
    <t>52.0% (Top 5 AMCs)</t>
  </si>
  <si>
    <t>Domestic MF (68%), International Investor Solutions (18%), Issuers (14%)</t>
  </si>
  <si>
    <t>AuM-linked tiered pricing with competitive discounting in overseas markets</t>
  </si>
  <si>
    <t>High in domestic MF; Moderate in international SaaS contracts</t>
  </si>
  <si>
    <t>Nippon Life India, UTI AMC, Axis AMC, Mirae Asset</t>
  </si>
  <si>
    <t>3 to 5-year contracts</t>
  </si>
  <si>
    <t>MODERATE (Geographic execution risk across SE Asia &amp; Malaysia)</t>
  </si>
  <si>
    <t>ACCEPTABLE MOAT: Strong domestic franchise but diluted by high-capex overseas bets.</t>
  </si>
  <si>
    <t>% Upside</t>
  </si>
  <si>
    <t>45.0% (Top Depository Participants)</t>
  </si>
  <si>
    <t>Transaction charges (42%), Annual Issuer fees (26%), IPO/Corp (18%), Others (14%)</t>
  </si>
  <si>
    <t>Attractive risk-adjusted entry margin</t>
  </si>
  <si>
    <t>Fixed debit fee per transaction; subject to periodic SEBI fee rationalization cuts</t>
  </si>
  <si>
    <t>High depository network effects; dual duopoly with NSDL</t>
  </si>
  <si>
    <t>Zerodha, Groww, AngelOne, Upstox, ICICI Securities</t>
  </si>
  <si>
    <t>Opportunistic deployment on technical pullbacks, broader market volatility, or quarterly results.</t>
  </si>
  <si>
    <t>Standard depository participant regulatory agreements</t>
  </si>
  <si>
    <t>],[],[</t>
  </si>
  <si>
    <t>HIGH (Transaction revenue fluctuates directly with retail trading activity)</t>
  </si>
  <si>
    <t>Tranche 3 (Margin of Safety Reserve)</t>
  </si>
  <si>
    <t>CYCLICAL RISK: Highly sensitive to retail demat transaction activity and regulatory tariff cuts.</t>
  </si>
  <si>
    <t>Days 76 - 120 (Deep Value)</t>
  </si>
  <si>
    <t>CAMS MULTI-YEAR FINANCIAL PROJECTIONS &amp; UNLEVERED FCFF SCHEDULE (₹ CRORE)</t>
  </si>
  <si>
    <t>65.0% (Top Algo / Proprietary Desks)</t>
  </si>
  <si>
    <t>Derivatives transaction charges (65%), Equity cash (18%), StAR MF (12%), Services (5%)</t>
  </si>
  <si>
    <t>Fee per turnover / traded contract value; pricing war with NSE</t>
  </si>
  <si>
    <t>₹615.00 - ₹645.00</t>
  </si>
  <si>
    <t>Moderate: Brokers route orders based on liquidity and lower transaction charges</t>
  </si>
  <si>
    <t>Proprietary HFT firms, algorithmic desks, institutional market makers</t>
  </si>
  <si>
    <t>No long-term locked contracts; liquidity can evaporate rapidly</t>
  </si>
  <si>
    <t>VERY HIGH (Peak weekly index options volatility drives earnings)</t>
  </si>
  <si>
    <t>ACUTE REGULATORY DANGER: Direct line of fire from SEBI circular curbing weekly index derivatives.</t>
  </si>
  <si>
    <t>Value reserve deployed if regulatory contagion from SEBI F&amp;O curbs depresses broader capital markets.</t>
  </si>
  <si>
    <t>3. FORENSIC ACCOUNTING RISK FLAGS &amp; QUALITY OF GOVERNANCE AUDIT</t>
  </si>
  <si>
    <t>Total Mandate Deployment</t>
  </si>
  <si>
    <t>Full 120-Day Deployment</t>
  </si>
  <si>
    <t>Auditor &amp; Track Record</t>
  </si>
  <si>
    <t>Capitalized Intangibles Risk</t>
  </si>
  <si>
    <t>Line Item (₹ Cr unless specified)</t>
  </si>
  <si>
    <t>Related Party Transactions</t>
  </si>
  <si>
    <t>Receivable Days &amp; Aging</t>
  </si>
  <si>
    <t>Blended Target Band</t>
  </si>
  <si>
    <t>Contingent Liabilities (₹ Cr)</t>
  </si>
  <si>
    <t>Projection Methodology / Driver</t>
  </si>
  <si>
    <t>Overall Forensic Risk Rating</t>
  </si>
  <si>
    <t>Primary Governance Flag</t>
  </si>
  <si>
    <t>FY23A</t>
  </si>
  <si>
    <t>IC Due Diligence Conclusion</t>
  </si>
  <si>
    <t>FY24A</t>
  </si>
  <si>
    <t>Big 4 (S.R. Batliboi &amp; Co. LLP)</t>
  </si>
  <si>
    <t>FY25A</t>
  </si>
  <si>
    <t>ZERO: All software &amp; tech development expensed directly through P&amp;L</t>
  </si>
  <si>
    <t>Negligible (&lt;1% of revenue); arms-length transactions</t>
  </si>
  <si>
    <t>FY26E</t>
  </si>
  <si>
    <t>48 Days (Outstanding receivables collected promptly from AMCs)</t>
  </si>
  <si>
    <t>FY27E</t>
  </si>
  <si>
    <t>FY28E</t>
  </si>
  <si>
    <t>FY29E</t>
  </si>
  <si>
    <t>FY30E</t>
  </si>
  <si>
    <t>5-Yr CAGR (FY25-30E)</t>
  </si>
  <si>
    <t>Mutual Fund RTA Services Revenue</t>
  </si>
  <si>
    <t>VERY LOW (Score: 9.5 / 10)</t>
  </si>
  <si>
    <t>AuM tier pricing (~3.8 bps) + Indian MF industry AAuM expansion</t>
  </si>
  <si>
    <t>None: Pristine accounting transparency, negative net debt, high dividend payout.</t>
  </si>
  <si>
    <t>GREEN LIGHT: Unimpeachable quality of earnings; safest balance sheet in capital markets sector.</t>
  </si>
  <si>
    <t>Big 4 (B S R &amp; Co. LLP)</t>
  </si>
  <si>
    <t>ELEVATED: Aggressive capitalization of internal software development (~₹45 Cr/yr)</t>
  </si>
  <si>
    <t>Moderate: Group transactions across international subsidiaries</t>
  </si>
  <si>
    <t>62 Days (Extended credit terms provided to international wealth clients)</t>
  </si>
  <si>
    <t>Complete ₹500 Cr long-only deployment into CAMS Ltd (~0.76 Cr shares / ~3.05% ownership stake).</t>
  </si>
  <si>
    <t>MODERATE (Score: 6.5 / 10)</t>
  </si>
  <si>
    <t>Intangible asset bloat and lower cash conversion mask true ongoing maintenance capex.</t>
  </si>
  <si>
    <t>YELLOW FLAG: Earnings quality compromised by aggressive R&amp;D capitalization policies.</t>
  </si>
  <si>
    <t>3. MANDATORY INSTITUTIONAL EXIT TRIGGERS &amp; RISK GOVERNANCE MATRIX</t>
  </si>
  <si>
    <t>Independent Top Tier (S.K. Patodia &amp; Associates)</t>
  </si>
  <si>
    <t>LOW: Minimal software capitalization</t>
  </si>
  <si>
    <t>BSE is a 15% promoter shareholder; transactions governed by SEBI arm's-length rules</t>
  </si>
  <si>
    <t>38 Days (Automated debit from DP clearing accounts)</t>
  </si>
  <si>
    <t>LOW (Score: 8.0 / 10)</t>
  </si>
  <si>
    <t>Earnings sustainability risk rather than accounting fraud; tariff cuts threaten margins.</t>
  </si>
  <si>
    <t>AMBER FLAG: High accounting cleanliness, but fundamental valuation is disconnected from reality.</t>
  </si>
  <si>
    <t>Top Tier (S.R. Batliboi &amp; Co. LLP)</t>
  </si>
  <si>
    <t>,</t>
  </si>
  <si>
    <t>LOW: Hardware and tech refresh expensed as incurred</t>
  </si>
  <si>
    <t>Clearing corporation (ICCL) &amp; CDSL dividend contributions</t>
  </si>
  <si>
    <t>25 Days (Daily settlement through clearing house)</t>
  </si>
  <si>
    <t>Trigger # &amp; Classification</t>
  </si>
  <si>
    <t>Risk Factor Monitored</t>
  </si>
  <si>
    <t>ELEVATED (Score: 5.5 / 10)</t>
  </si>
  <si>
    <t>Threshold / Boundary Condition</t>
  </si>
  <si>
    <t>Significant regulatory dispute on SEBI turnover fee calculation; potential one-off cash hit.</t>
  </si>
  <si>
    <t>Current Baseline Metric</t>
  </si>
  <si>
    <t>RED FLAG: Substantial regulatory and legal overhang regarding past options turnover fee liabilities.</t>
  </si>
  <si>
    <t>Mandatory IC Action Protocol</t>
  </si>
  <si>
    <t>Primary Downside Risk Mitigated</t>
  </si>
  <si>
    <t>Monitoring Frequency &amp; Ownership</t>
  </si>
  <si>
    <t>Trigger 1: Valuation Cap</t>
  </si>
  <si>
    <t>Non-MF Services Revenue (CAMSKRA, Insurance, AIF, TSP)</t>
  </si>
  <si>
    <t>High-growth digital businesses (KRA, KYC, Account Aggregator, Payments)</t>
  </si>
  <si>
    <t>Excessive Multiple Expansion</t>
  </si>
  <si>
    <t>CMP reaches ₹825 - ₹850 (Implied Trailing P/E &gt; 45.0x / EV/EBITDA &gt; 32.0x)</t>
  </si>
  <si>
    <t>37.03x P/E | CMP ₹675.45</t>
  </si>
  <si>
    <t>Trim 50% allocation at ₹825 (take profit); complete 100% liquidation at ₹850 or above.</t>
  </si>
  <si>
    <t>Multiple de-rating risk, asymmetric risk-reward, and long-term mean reversion.</t>
  </si>
  <si>
    <t>Daily Price Audit | Portfolio Manager</t>
  </si>
  <si>
    <t>Trigger 2: Fundamental Moat Decay</t>
  </si>
  <si>
    <t>Mutual Fund AAuM Market Share</t>
  </si>
  <si>
    <t>Equity AAuM market share falls below 60.0% for two consecutive reporting quarters</t>
  </si>
  <si>
    <t>66.0% Equity AAuM Market Share</t>
  </si>
  <si>
    <t>Convene emergency IC session; issue immediate divestment notice and exit within 15 business days.</t>
  </si>
  <si>
    <t>Structural erosion of duopoly moat, client defection to KFin Tech, or large AMC insourcing.</t>
  </si>
  <si>
    <t>Monthly AMFI Disclosures | Lead Analyst</t>
  </si>
  <si>
    <t>Trigger 3: Regulatory Tariff Scrutiny</t>
  </si>
  <si>
    <t>Direct SEBI Cap on RTA AuM Fees</t>
  </si>
  <si>
    <t>Statutory fee reduction leading to forward EBITDA margin compression below 35.0%</t>
  </si>
  <si>
    <t>Tiered ~3.8 bps on AuM (46.0% EBIT Margin)</t>
  </si>
  <si>
    <t>Immediate DCF fair-value reassessment; if fair value drops below ₹600.00, execute immediate full stop-loss.</t>
  </si>
  <si>
    <t>Permanent structural impairment of unit economics and regulatory cash flow caps.</t>
  </si>
  <si>
    <t>Continuous Regulatory Filing Review | Compliance &amp; IC</t>
  </si>
  <si>
    <t>Trigger 4: Hard Stop-Loss Ceiling</t>
  </si>
  <si>
    <t>Portfolio Capital Preservation</t>
  </si>
  <si>
    <t>Drawdown &gt; 15.0% below blended acquisition price (price drops below ₹560.00)</t>
  </si>
  <si>
    <t>Blended Cost ₹660.00 (CMP ₹675.45)</t>
  </si>
  <si>
    <t>Mandatory algorithmic liquidation of 50% holding within 48 hours; reassess final 50%.</t>
  </si>
  <si>
    <t>Black swan macroeconomic contagion, systemic liquidity collapse, or unforeseen forensic shock.</t>
  </si>
  <si>
    <t>Total Operating Revenue</t>
  </si>
  <si>
    <t>Real-Time NAV Monitoring | Risk Officer</t>
  </si>
  <si>
    <t>Sum of Mutual Fund RTA and Non-MF Digital Revenue</t>
  </si>
  <si>
    <t>YoY Revenue Growth Rate (%)</t>
  </si>
  <si>
    <t>Annual operational revenue expansion</t>
  </si>
  <si>
    <t>Total Operating Expenses (Employee + Tech + G&amp;A)</t>
  </si>
  <si>
    <t>Fixed-cost platform leverage (Opex stable at ~52-54% of sales)</t>
  </si>
  <si>
    <t>11.50% (Base)</t>
  </si>
  <si>
    <t>Total Revenue less Total Operating Expenses</t>
  </si>
  <si>
    <t>EBITDA Margin (%)</t>
  </si>
  <si>
    <t>Operating margin expansion reflecting strong unit economics</t>
  </si>
  <si>
    <t>Depreciation &amp; Amortization (D&amp;A)</t>
  </si>
  <si>
    <t>Server hardware, office leases, and capitalized software amortisation</t>
  </si>
  <si>
    <t>Operating EBIT</t>
  </si>
  <si>
    <t>EBITDA less Depreciation &amp; Amortization</t>
  </si>
  <si>
    <t>Less: Effective Income Taxes (25.0%)</t>
  </si>
  <si>
    <t>Statutory corporate tax rate applied to Operating EBIT</t>
  </si>
  <si>
    <t>Net Operating Profit After Taxes (NOPAT)</t>
  </si>
  <si>
    <t>Operating EBIT * (1 - 25.0% Tax Rate)</t>
  </si>
  <si>
    <t>Add: Depreciation &amp; Amortization (D&amp;A)</t>
  </si>
  <si>
    <t>Non-cash operating expense added back to operating cash flow</t>
  </si>
  <si>
    <t>Less: Capital Expenditures (Capex)</t>
  </si>
  <si>
    <t>Modest asset-light tech upgrades, cloud capacity &amp; data security</t>
  </si>
  <si>
    <t>Less: Incremental Net Working Capital (ΔNWC)</t>
  </si>
  <si>
    <t>Working capital requirements (primarily receivables from AMCs)</t>
  </si>
  <si>
    <t>Unlevered Free Cash Flow to Firm (FCFF)</t>
  </si>
  <si>
    <t>FCFF = NOPAT + D&amp;A - Capex - ΔNWC</t>
  </si>
  <si>
    <t>3B. 5x5 IMPLIED UPSIDE / DOWNSIDE VS CMP ₹675.45 (%)</t>
  </si>
  <si>
    <t>Forecast Horizon / Discount Period (t)</t>
  </si>
  <si>
    <t>Year index for present value discounting</t>
  </si>
  <si>
    <t>Discount Factor (1 / (1 + WACC)^t)</t>
  </si>
  <si>
    <t>Present value factor discounted at 11.50% WACC</t>
  </si>
  <si>
    <t>Present Value of Explicit FCFF (₹ Cr)</t>
  </si>
  <si>
    <t>FCFF discounted to present value</t>
  </si>
  <si>
    <t>Key IC Sensitivity Takeaway: Even under the most pessimistic matrix scenario (WACC 12.50% and TGR 5.50%), CAMS fair value is ₹678.92, offering +0.51% downside protection at CMP ₹675.45, confirming institutional margin of safety.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</si>
</sst>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₹#,##0.00"/>
    <numFmt numFmtId="165" formatCode="#,##0.00&quot;x&quot;"/>
    <numFmt numFmtId="166" formatCode="+0.00%;-0.00%;0.00%"/>
    <numFmt numFmtId="167" formatCode="0.00&quot;x&quot;"/>
    <numFmt numFmtId="168" formatCode="0.0%"/>
    <numFmt numFmtId="169" formatCode="#,##0.0000"/>
    <numFmt numFmtId="170" formatCode="+0.00%"/>
    <numFmt numFmtId="171" formatCode="0.0000"/>
  </numFmts>
  <fonts count="19">
    <font>
      <sz val="10.0"/>
      <color rgb="FF000000"/>
      <name val="Arial"/>
      <scheme val="minor"/>
    </font>
    <font>
      <b/>
      <sz val="14.0"/>
      <color rgb="FF1D3A8A"/>
      <name val="Montserrat"/>
    </font>
    <font>
      <b/>
      <sz val="11.0"/>
      <color rgb="FF334478"/>
      <name val="Montserrat"/>
    </font>
    <font>
      <i/>
      <sz val="10.0"/>
      <color rgb="FF64738B"/>
      <name val="Roboto"/>
    </font>
    <font>
      <color rgb="FF166533"/>
      <name val="Montserrat"/>
    </font>
    <font/>
    <font>
      <color theme="1"/>
      <name val="Arial"/>
      <scheme val="minor"/>
    </font>
    <font>
      <b/>
      <sz val="9.0"/>
      <color rgb="FF334478"/>
      <name val="Montserrat"/>
    </font>
    <font>
      <b/>
      <sz val="10.0"/>
      <color rgb="FFFFFFFF"/>
      <name val="Montserrat"/>
    </font>
    <font>
      <b/>
      <sz val="13.0"/>
      <color rgb="FF166533"/>
      <name val="Montserrat"/>
    </font>
    <font>
      <b/>
      <sz val="13.0"/>
      <color rgb="FF1D3A8A"/>
      <name val="Montserrat"/>
    </font>
    <font>
      <sz val="9.0"/>
      <color rgb="FF64738B"/>
      <name val="Roboto"/>
    </font>
    <font>
      <sz val="10.0"/>
      <color theme="1"/>
      <name val="Roboto"/>
    </font>
    <font>
      <sz val="10.0"/>
      <color rgb="FF166533"/>
      <name val="Montserrat"/>
    </font>
    <font>
      <b/>
      <sz val="10.0"/>
      <color rgb="FF166533"/>
      <name val="Montserrat"/>
    </font>
    <font>
      <b/>
      <sz val="10.0"/>
      <color theme="1"/>
      <name val="Montserrat"/>
    </font>
    <font>
      <b/>
      <sz val="11.0"/>
      <color rgb="FF166533"/>
      <name val="Montserrat"/>
    </font>
    <font>
      <b/>
      <sz val="10.0"/>
      <color rgb="FF1D3A8A"/>
      <name val="Montserrat"/>
    </font>
    <font>
      <b/>
      <i/>
      <sz val="10.0"/>
      <color rgb="FF1D3A8A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DBFBE7"/>
        <bgColor rgb="FFDBFBE7"/>
      </patternFill>
    </fill>
    <fill>
      <patternFill patternType="solid">
        <fgColor rgb="FFF1F5F9"/>
        <bgColor rgb="FFF1F5F9"/>
      </patternFill>
    </fill>
    <fill>
      <patternFill patternType="solid">
        <fgColor rgb="FF334478"/>
        <bgColor rgb="FF334478"/>
      </patternFill>
    </fill>
    <fill>
      <patternFill patternType="solid">
        <fgColor rgb="FF1D3A8A"/>
        <bgColor rgb="FF1D3A8A"/>
      </patternFill>
    </fill>
    <fill>
      <patternFill patternType="solid">
        <fgColor rgb="FFFFFFFF"/>
        <bgColor rgb="FFFFFFFF"/>
      </patternFill>
    </fill>
    <fill>
      <patternFill patternType="solid">
        <fgColor rgb="FFF7FAFB"/>
        <bgColor rgb="FFF7FAFB"/>
      </patternFill>
    </fill>
  </fills>
  <borders count="21">
    <border/>
    <border>
      <left style="thin">
        <color rgb="FF86EFAB"/>
      </left>
      <top style="thin">
        <color rgb="FF86EFAB"/>
      </top>
    </border>
    <border>
      <top style="thin">
        <color rgb="FF86EFAB"/>
      </top>
    </border>
    <border>
      <right style="thin">
        <color rgb="FF86EFAB"/>
      </right>
      <top style="thin">
        <color rgb="FF86EFAB"/>
      </top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 style="thin">
        <color rgb="FF86EFAB"/>
      </left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86EFAB"/>
      </right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86EFAB"/>
      </left>
      <bottom style="thin">
        <color rgb="FF86EFAB"/>
      </bottom>
    </border>
    <border>
      <bottom style="thin">
        <color rgb="FF86EFAB"/>
      </bottom>
    </border>
    <border>
      <right style="thin">
        <color rgb="FF86EFAB"/>
      </right>
      <bottom style="thin">
        <color rgb="FF86EFAB"/>
      </bottom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readingOrder="0"/>
    </xf>
    <xf borderId="4" fillId="3" fontId="7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7" fillId="4" fontId="8" numFmtId="0" xfId="0" applyAlignment="1" applyBorder="1" applyFill="1" applyFont="1">
      <alignment horizontal="center" vertical="center"/>
    </xf>
    <xf borderId="8" fillId="0" fontId="5" numFmtId="0" xfId="0" applyBorder="1" applyFont="1"/>
    <xf borderId="7" fillId="4" fontId="8" numFmtId="0" xfId="0" applyAlignment="1" applyBorder="1" applyFill="1" applyFont="1">
      <alignment horizontal="center" readingOrder="0" vertical="center"/>
    </xf>
    <xf borderId="9" fillId="2" fontId="9" numFmtId="0" xfId="0" applyAlignment="1" applyBorder="1" applyFill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12" fillId="3" fontId="10" numFmtId="0" xfId="0" applyAlignment="1" applyBorder="1" applyFill="1" applyFont="1">
      <alignment horizontal="center" readingOrder="0" vertical="center"/>
    </xf>
    <xf borderId="13" fillId="0" fontId="5" numFmtId="0" xfId="0" applyBorder="1" applyFont="1"/>
    <xf borderId="14" fillId="5" fontId="8" numFmtId="0" xfId="0" applyAlignment="1" applyBorder="1" applyFill="1" applyFont="1">
      <alignment horizontal="center" readingOrder="0" shrinkToFit="0" vertical="center" wrapText="1"/>
    </xf>
    <xf borderId="15" fillId="2" fontId="4" numFmtId="0" xfId="0" applyAlignment="1" applyBorder="1" applyFill="1" applyFont="1">
      <alignment horizontal="center" readingOrder="0" vertical="center"/>
    </xf>
    <xf borderId="14" fillId="5" fontId="8" numFmtId="0" xfId="0" applyAlignment="1" applyBorder="1" applyFill="1" applyFont="1">
      <alignment horizontal="center" shrinkToFit="0" vertical="center" wrapText="1"/>
    </xf>
    <xf borderId="7" fillId="5" fontId="8" numFmtId="0" xfId="0" applyAlignment="1" applyBorder="1" applyFill="1" applyFont="1">
      <alignment horizontal="center" readingOrder="0" vertical="center"/>
    </xf>
    <xf borderId="16" fillId="0" fontId="5" numFmtId="0" xfId="0" applyBorder="1" applyFont="1"/>
    <xf borderId="17" fillId="0" fontId="5" numFmtId="0" xfId="0" applyBorder="1" applyFont="1"/>
    <xf borderId="18" fillId="3" fontId="11" numFmtId="0" xfId="0" applyAlignment="1" applyBorder="1" applyFill="1" applyFont="1">
      <alignment horizontal="center" readingOrder="0" vertical="center"/>
    </xf>
    <xf borderId="14" fillId="0" fontId="6" numFmtId="0" xfId="0" applyAlignment="1" applyBorder="1" applyFont="1">
      <alignment readingOrder="0"/>
    </xf>
    <xf borderId="14" fillId="0" fontId="12" numFmtId="0" xfId="0" applyAlignment="1" applyBorder="1" applyFont="1">
      <alignment readingOrder="0" vertical="center"/>
    </xf>
    <xf borderId="19" fillId="0" fontId="5" numFmtId="0" xfId="0" applyBorder="1" applyFont="1"/>
    <xf borderId="20" fillId="0" fontId="5" numFmtId="0" xfId="0" applyBorder="1" applyFont="1"/>
    <xf borderId="14" fillId="0" fontId="12" numFmtId="164" xfId="0" applyAlignment="1" applyBorder="1" applyFont="1" applyNumberFormat="1">
      <alignment readingOrder="0" vertical="center"/>
    </xf>
    <xf borderId="14" fillId="0" fontId="6" numFmtId="164" xfId="0" applyAlignment="1" applyBorder="1" applyFont="1" applyNumberFormat="1">
      <alignment readingOrder="0"/>
    </xf>
    <xf borderId="14" fillId="2" fontId="13" numFmtId="0" xfId="0" applyAlignment="1" applyBorder="1" applyFill="1" applyFont="1">
      <alignment readingOrder="0" vertical="center"/>
    </xf>
    <xf borderId="14" fillId="2" fontId="13" numFmtId="164" xfId="0" applyAlignment="1" applyBorder="1" applyFill="1" applyFont="1" applyNumberFormat="1">
      <alignment readingOrder="0" vertical="center"/>
    </xf>
    <xf borderId="14" fillId="2" fontId="13" numFmtId="165" xfId="0" applyAlignment="1" applyBorder="1" applyFill="1" applyFont="1" applyNumberFormat="1">
      <alignment readingOrder="0" vertical="center"/>
    </xf>
    <xf borderId="14" fillId="0" fontId="6" numFmtId="10" xfId="0" applyAlignment="1" applyBorder="1" applyFont="1" applyNumberFormat="1">
      <alignment readingOrder="0"/>
    </xf>
    <xf borderId="14" fillId="2" fontId="13" numFmtId="166" xfId="0" applyAlignment="1" applyBorder="1" applyFill="1" applyFont="1" applyNumberFormat="1">
      <alignment readingOrder="0" vertical="center"/>
    </xf>
    <xf borderId="14" fillId="0" fontId="6" numFmtId="4" xfId="0" applyAlignment="1" applyBorder="1" applyFont="1" applyNumberFormat="1">
      <alignment readingOrder="0"/>
    </xf>
    <xf borderId="14" fillId="2" fontId="14" numFmtId="0" xfId="0" applyAlignment="1" applyBorder="1" applyFill="1" applyFont="1">
      <alignment readingOrder="0" vertical="center"/>
    </xf>
    <xf borderId="14" fillId="2" fontId="14" numFmtId="164" xfId="0" applyAlignment="1" applyBorder="1" applyFill="1" applyFont="1" applyNumberFormat="1">
      <alignment readingOrder="0" vertical="center"/>
    </xf>
    <xf borderId="14" fillId="0" fontId="12" numFmtId="164" xfId="0" applyAlignment="1" applyBorder="1" applyFont="1" applyNumberFormat="1">
      <alignment vertical="center"/>
    </xf>
    <xf borderId="14" fillId="2" fontId="14" numFmtId="165" xfId="0" applyAlignment="1" applyBorder="1" applyFill="1" applyFont="1" applyNumberFormat="1">
      <alignment readingOrder="0" vertical="center"/>
    </xf>
    <xf borderId="14" fillId="2" fontId="14" numFmtId="10" xfId="0" applyAlignment="1" applyBorder="1" applyFill="1" applyFont="1" applyNumberFormat="1">
      <alignment readingOrder="0" vertical="center"/>
    </xf>
    <xf borderId="14" fillId="2" fontId="14" numFmtId="166" xfId="0" applyAlignment="1" applyBorder="1" applyFill="1" applyFont="1" applyNumberFormat="1">
      <alignment vertical="center"/>
    </xf>
    <xf borderId="14" fillId="2" fontId="13" numFmtId="166" xfId="0" applyAlignment="1" applyBorder="1" applyFill="1" applyFont="1" applyNumberFormat="1">
      <alignment vertical="center"/>
    </xf>
    <xf borderId="14" fillId="0" fontId="6" numFmtId="10" xfId="0" applyAlignment="1" applyBorder="1" applyFont="1" applyNumberFormat="1">
      <alignment readingOrder="0"/>
    </xf>
    <xf borderId="14" fillId="0" fontId="12" numFmtId="165" xfId="0" applyAlignment="1" applyBorder="1" applyFont="1" applyNumberFormat="1">
      <alignment readingOrder="0" vertical="center"/>
    </xf>
    <xf borderId="14" fillId="0" fontId="15" numFmtId="0" xfId="0" applyAlignment="1" applyBorder="1" applyFont="1">
      <alignment readingOrder="0" vertical="center"/>
    </xf>
    <xf borderId="14" fillId="0" fontId="12" numFmtId="166" xfId="0" applyAlignment="1" applyBorder="1" applyFont="1" applyNumberFormat="1">
      <alignment vertical="center"/>
    </xf>
    <xf borderId="14" fillId="6" fontId="12" numFmtId="0" xfId="0" applyAlignment="1" applyBorder="1" applyFill="1" applyFont="1">
      <alignment readingOrder="0" vertical="center"/>
    </xf>
    <xf borderId="14" fillId="0" fontId="15" numFmtId="164" xfId="0" applyAlignment="1" applyBorder="1" applyFont="1" applyNumberFormat="1">
      <alignment readingOrder="0" vertical="center"/>
    </xf>
    <xf borderId="14" fillId="6" fontId="12" numFmtId="164" xfId="0" applyAlignment="1" applyBorder="1" applyFill="1" applyFont="1" applyNumberFormat="1">
      <alignment readingOrder="0" vertical="center"/>
    </xf>
    <xf borderId="14" fillId="0" fontId="15" numFmtId="164" xfId="0" applyAlignment="1" applyBorder="1" applyFont="1" applyNumberFormat="1">
      <alignment vertical="center"/>
    </xf>
    <xf borderId="14" fillId="6" fontId="12" numFmtId="165" xfId="0" applyAlignment="1" applyBorder="1" applyFill="1" applyFont="1" applyNumberFormat="1">
      <alignment readingOrder="0" vertical="center"/>
    </xf>
    <xf borderId="14" fillId="6" fontId="12" numFmtId="10" xfId="0" applyAlignment="1" applyBorder="1" applyFill="1" applyFont="1" applyNumberFormat="1">
      <alignment readingOrder="0" vertical="center"/>
    </xf>
    <xf borderId="14" fillId="6" fontId="12" numFmtId="166" xfId="0" applyAlignment="1" applyBorder="1" applyFill="1" applyFont="1" applyNumberFormat="1">
      <alignment vertical="center"/>
    </xf>
    <xf borderId="14" fillId="0" fontId="6" numFmtId="167" xfId="0" applyAlignment="1" applyBorder="1" applyFont="1" applyNumberFormat="1">
      <alignment readingOrder="0"/>
    </xf>
    <xf borderId="14" fillId="7" fontId="12" numFmtId="0" xfId="0" applyAlignment="1" applyBorder="1" applyFill="1" applyFont="1">
      <alignment readingOrder="0" vertical="center"/>
    </xf>
    <xf borderId="14" fillId="7" fontId="12" numFmtId="164" xfId="0" applyAlignment="1" applyBorder="1" applyFill="1" applyFont="1" applyNumberFormat="1">
      <alignment readingOrder="0" vertical="center"/>
    </xf>
    <xf borderId="14" fillId="3" fontId="15" numFmtId="0" xfId="0" applyAlignment="1" applyBorder="1" applyFill="1" applyFont="1">
      <alignment readingOrder="0"/>
    </xf>
    <xf borderId="14" fillId="7" fontId="12" numFmtId="165" xfId="0" applyAlignment="1" applyBorder="1" applyFill="1" applyFont="1" applyNumberFormat="1">
      <alignment readingOrder="0" vertical="center"/>
    </xf>
    <xf borderId="14" fillId="7" fontId="12" numFmtId="10" xfId="0" applyAlignment="1" applyBorder="1" applyFill="1" applyFont="1" applyNumberFormat="1">
      <alignment readingOrder="0" vertical="center"/>
    </xf>
    <xf borderId="14" fillId="7" fontId="12" numFmtId="166" xfId="0" applyAlignment="1" applyBorder="1" applyFill="1" applyFont="1" applyNumberFormat="1">
      <alignment vertical="center"/>
    </xf>
    <xf borderId="14" fillId="2" fontId="14" numFmtId="164" xfId="0" applyAlignment="1" applyBorder="1" applyFill="1" applyFont="1" applyNumberFormat="1">
      <alignment vertical="center"/>
    </xf>
    <xf borderId="14" fillId="3" fontId="15" numFmtId="164" xfId="0" applyBorder="1" applyFill="1" applyFont="1" applyNumberFormat="1"/>
    <xf borderId="14" fillId="3" fontId="15" numFmtId="10" xfId="0" applyAlignment="1" applyBorder="1" applyFill="1" applyFont="1" applyNumberFormat="1">
      <alignment readingOrder="0"/>
    </xf>
    <xf borderId="14" fillId="3" fontId="15" numFmtId="0" xfId="0" applyAlignment="1" applyBorder="1" applyFill="1" applyFont="1">
      <alignment readingOrder="0" vertical="center"/>
    </xf>
    <xf borderId="14" fillId="0" fontId="6" numFmtId="165" xfId="0" applyAlignment="1" applyBorder="1" applyFont="1" applyNumberFormat="1">
      <alignment readingOrder="0"/>
    </xf>
    <xf borderId="14" fillId="0" fontId="6" numFmtId="10" xfId="0" applyBorder="1" applyFont="1" applyNumberFormat="1"/>
    <xf borderId="14" fillId="0" fontId="6" numFmtId="166" xfId="0" applyBorder="1" applyFont="1" applyNumberFormat="1"/>
    <xf borderId="14" fillId="2" fontId="14" numFmtId="168" xfId="0" applyAlignment="1" applyBorder="1" applyFill="1" applyFont="1" applyNumberFormat="1">
      <alignment vertical="center"/>
    </xf>
    <xf borderId="14" fillId="0" fontId="15" numFmtId="168" xfId="0" applyAlignment="1" applyBorder="1" applyFont="1" applyNumberFormat="1">
      <alignment vertical="center"/>
    </xf>
    <xf borderId="14" fillId="3" fontId="15" numFmtId="164" xfId="0" applyAlignment="1" applyBorder="1" applyFill="1" applyFont="1" applyNumberFormat="1">
      <alignment vertical="center"/>
    </xf>
    <xf borderId="14" fillId="3" fontId="15" numFmtId="165" xfId="0" applyAlignment="1" applyBorder="1" applyFill="1" applyFont="1" applyNumberFormat="1">
      <alignment vertical="center"/>
    </xf>
    <xf borderId="14" fillId="0" fontId="12" numFmtId="0" xfId="0" applyAlignment="1" applyBorder="1" applyFont="1">
      <alignment readingOrder="0" shrinkToFit="0" vertical="center" wrapText="1"/>
    </xf>
    <xf borderId="14" fillId="2" fontId="14" numFmtId="0" xfId="0" applyAlignment="1" applyBorder="1" applyFill="1" applyFont="1">
      <alignment readingOrder="0" shrinkToFit="0" vertical="center" wrapText="1"/>
    </xf>
    <xf borderId="14" fillId="3" fontId="15" numFmtId="10" xfId="0" applyAlignment="1" applyBorder="1" applyFill="1" applyFont="1" applyNumberFormat="1">
      <alignment vertical="center"/>
    </xf>
    <xf borderId="14" fillId="3" fontId="15" numFmtId="166" xfId="0" applyAlignment="1" applyBorder="1" applyFill="1" applyFont="1" applyNumberFormat="1">
      <alignment vertical="center"/>
    </xf>
    <xf borderId="0" fillId="4" fontId="8" numFmtId="0" xfId="0" applyAlignment="1" applyFill="1" applyFont="1">
      <alignment horizontal="center" vertical="center"/>
    </xf>
    <xf borderId="14" fillId="0" fontId="12" numFmtId="168" xfId="0" applyAlignment="1" applyBorder="1" applyFont="1" applyNumberFormat="1">
      <alignment vertical="center"/>
    </xf>
    <xf borderId="0" fillId="0" fontId="3" numFmtId="0" xfId="0" applyAlignment="1" applyFont="1">
      <alignment horizontal="center" readingOrder="0" vertical="center"/>
    </xf>
    <xf borderId="14" fillId="0" fontId="6" numFmtId="4" xfId="0" applyBorder="1" applyFont="1" applyNumberFormat="1"/>
    <xf borderId="14" fillId="0" fontId="12" numFmtId="168" xfId="0" applyAlignment="1" applyBorder="1" applyFont="1" applyNumberFormat="1">
      <alignment readingOrder="0" vertical="center"/>
    </xf>
    <xf borderId="14" fillId="5" fontId="8" numFmtId="0" xfId="0" applyAlignment="1" applyBorder="1" applyFill="1" applyFont="1">
      <alignment horizontal="center" readingOrder="0" vertical="center"/>
    </xf>
    <xf borderId="14" fillId="4" fontId="8" numFmtId="0" xfId="0" applyAlignment="1" applyBorder="1" applyFill="1" applyFont="1">
      <alignment horizontal="center" readingOrder="0" vertical="center"/>
    </xf>
    <xf borderId="14" fillId="4" fontId="8" numFmtId="10" xfId="0" applyAlignment="1" applyBorder="1" applyFill="1" applyFont="1" applyNumberFormat="1">
      <alignment horizontal="center" readingOrder="0" vertical="center"/>
    </xf>
    <xf borderId="14" fillId="0" fontId="15" numFmtId="10" xfId="0" applyAlignment="1" applyBorder="1" applyFont="1" applyNumberFormat="1">
      <alignment horizontal="center" readingOrder="0" vertical="center"/>
    </xf>
    <xf borderId="14" fillId="2" fontId="16" numFmtId="164" xfId="0" applyBorder="1" applyFill="1" applyFont="1" applyNumberFormat="1"/>
    <xf borderId="14" fillId="6" fontId="12" numFmtId="168" xfId="0" applyAlignment="1" applyBorder="1" applyFill="1" applyFont="1" applyNumberFormat="1">
      <alignment vertical="center"/>
    </xf>
    <xf borderId="14" fillId="6" fontId="12" numFmtId="169" xfId="0" applyAlignment="1" applyBorder="1" applyFill="1" applyFont="1" applyNumberFormat="1">
      <alignment vertical="center"/>
    </xf>
    <xf borderId="14" fillId="7" fontId="12" numFmtId="168" xfId="0" applyAlignment="1" applyBorder="1" applyFill="1" applyFont="1" applyNumberFormat="1">
      <alignment vertical="center"/>
    </xf>
    <xf borderId="14" fillId="0" fontId="12" numFmtId="164" xfId="0" applyAlignment="1" applyBorder="1" applyFont="1" applyNumberFormat="1">
      <alignment horizontal="center" readingOrder="0" vertical="center"/>
    </xf>
    <xf borderId="14" fillId="7" fontId="12" numFmtId="169" xfId="0" applyAlignment="1" applyBorder="1" applyFill="1" applyFont="1" applyNumberFormat="1">
      <alignment vertical="center"/>
    </xf>
    <xf borderId="14" fillId="2" fontId="16" numFmtId="170" xfId="0" applyBorder="1" applyFill="1" applyFont="1" applyNumberFormat="1"/>
    <xf borderId="14" fillId="3" fontId="15" numFmtId="168" xfId="0" applyAlignment="1" applyBorder="1" applyFill="1" applyFont="1" applyNumberFormat="1">
      <alignment vertical="center"/>
    </xf>
    <xf borderId="14" fillId="2" fontId="14" numFmtId="164" xfId="0" applyAlignment="1" applyBorder="1" applyFill="1" applyFont="1" applyNumberFormat="1">
      <alignment readingOrder="0" shrinkToFit="0" vertical="center" wrapText="1"/>
    </xf>
    <xf borderId="14" fillId="3" fontId="15" numFmtId="169" xfId="0" applyAlignment="1" applyBorder="1" applyFill="1" applyFont="1" applyNumberFormat="1">
      <alignment vertical="center"/>
    </xf>
    <xf borderId="14" fillId="3" fontId="15" numFmtId="168" xfId="0" applyAlignment="1" applyBorder="1" applyFill="1" applyFont="1" applyNumberFormat="1">
      <alignment readingOrder="0" vertical="center"/>
    </xf>
    <xf borderId="14" fillId="0" fontId="12" numFmtId="164" xfId="0" applyAlignment="1" applyBorder="1" applyFont="1" applyNumberFormat="1">
      <alignment readingOrder="0" shrinkToFit="0" vertical="center" wrapText="1"/>
    </xf>
    <xf borderId="0" fillId="0" fontId="6" numFmtId="10" xfId="0" applyAlignment="1" applyFont="1" applyNumberFormat="1">
      <alignment readingOrder="0"/>
    </xf>
    <xf borderId="14" fillId="0" fontId="17" numFmtId="0" xfId="0" applyAlignment="1" applyBorder="1" applyFont="1">
      <alignment readingOrder="0" shrinkToFit="0" vertical="center" wrapText="1"/>
    </xf>
    <xf borderId="14" fillId="0" fontId="12" numFmtId="164" xfId="0" applyAlignment="1" applyBorder="1" applyFont="1" applyNumberFormat="1">
      <alignment horizontal="center" vertical="center"/>
    </xf>
    <xf borderId="14" fillId="0" fontId="15" numFmtId="0" xfId="0" applyAlignment="1" applyBorder="1" applyFont="1">
      <alignment horizontal="center" readingOrder="0" vertical="center"/>
    </xf>
    <xf borderId="14" fillId="2" fontId="16" numFmtId="164" xfId="0" applyAlignment="1" applyBorder="1" applyFill="1" applyFont="1" applyNumberFormat="1">
      <alignment horizontal="center" vertical="center"/>
    </xf>
    <xf borderId="14" fillId="0" fontId="12" numFmtId="1" xfId="0" applyAlignment="1" applyBorder="1" applyFont="1" applyNumberFormat="1">
      <alignment readingOrder="0" vertical="center"/>
    </xf>
    <xf borderId="14" fillId="0" fontId="12" numFmtId="166" xfId="0" applyAlignment="1" applyBorder="1" applyFont="1" applyNumberFormat="1">
      <alignment horizontal="center" vertical="center"/>
    </xf>
    <xf borderId="14" fillId="0" fontId="12" numFmtId="171" xfId="0" applyAlignment="1" applyBorder="1" applyFont="1" applyNumberFormat="1">
      <alignment readingOrder="0" vertical="center"/>
    </xf>
    <xf borderId="14" fillId="0" fontId="12" numFmtId="171" xfId="0" applyAlignment="1" applyBorder="1" applyFont="1" applyNumberFormat="1">
      <alignment vertical="center"/>
    </xf>
    <xf borderId="14" fillId="3" fontId="15" numFmtId="164" xfId="0" applyAlignment="1" applyBorder="1" applyFill="1" applyFont="1" applyNumberFormat="1">
      <alignment readingOrder="0" vertical="center"/>
    </xf>
    <xf borderId="14" fillId="2" fontId="16" numFmtId="166" xfId="0" applyAlignment="1" applyBorder="1" applyFill="1" applyFont="1" applyNumberFormat="1">
      <alignment horizontal="center" vertical="center"/>
    </xf>
    <xf borderId="7" fillId="3" fontId="1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3A8A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7.63"/>
    <col customWidth="1" min="3" max="4" width="12.63"/>
    <col customWidth="1" min="5" max="5" width="16.38"/>
    <col customWidth="1" min="6" max="7" width="12.63"/>
    <col customWidth="1" min="8" max="8" width="11.38"/>
    <col customWidth="1" min="9" max="9" width="13.88"/>
    <col customWidth="1" min="10" max="12" width="12.0"/>
    <col customWidth="1" min="13" max="16" width="14.5"/>
    <col customWidth="1" min="17" max="17" width="42.63"/>
  </cols>
  <sheetData>
    <row r="2">
      <c r="B2" s="1" t="s">
        <v>0</v>
      </c>
    </row>
    <row r="3">
      <c r="B3" s="2" t="s">
        <v>1</v>
      </c>
    </row>
    <row r="4">
      <c r="B4" s="3" t="s">
        <v>3</v>
      </c>
    </row>
    <row r="6">
      <c r="B6" s="4" t="s">
        <v>5</v>
      </c>
      <c r="C6" s="5"/>
      <c r="D6" s="5"/>
      <c r="E6" s="6"/>
      <c r="F6" s="8" t="s">
        <v>14</v>
      </c>
      <c r="G6" s="9"/>
      <c r="H6" s="9"/>
      <c r="I6" s="10"/>
      <c r="J6" s="8" t="s">
        <v>16</v>
      </c>
      <c r="K6" s="9"/>
      <c r="L6" s="9"/>
      <c r="M6" s="10"/>
      <c r="N6" s="8" t="s">
        <v>18</v>
      </c>
      <c r="O6" s="9"/>
      <c r="P6" s="9"/>
      <c r="Q6" s="10"/>
    </row>
    <row r="7">
      <c r="B7" s="14" t="s">
        <v>19</v>
      </c>
      <c r="E7" s="16"/>
      <c r="F7" s="17" t="s">
        <v>20</v>
      </c>
      <c r="I7" s="18"/>
      <c r="J7" s="17" t="s">
        <v>23</v>
      </c>
      <c r="M7" s="18"/>
      <c r="N7" s="17" t="s">
        <v>25</v>
      </c>
      <c r="Q7" s="18"/>
    </row>
    <row r="8">
      <c r="B8" s="20" t="s">
        <v>27</v>
      </c>
      <c r="C8" s="23"/>
      <c r="D8" s="23"/>
      <c r="E8" s="24"/>
      <c r="F8" s="25" t="s">
        <v>35</v>
      </c>
      <c r="G8" s="28"/>
      <c r="H8" s="28"/>
      <c r="I8" s="29"/>
      <c r="J8" s="25" t="s">
        <v>39</v>
      </c>
      <c r="K8" s="28"/>
      <c r="L8" s="28"/>
      <c r="M8" s="29"/>
      <c r="N8" s="25" t="s">
        <v>41</v>
      </c>
      <c r="O8" s="28"/>
      <c r="P8" s="28"/>
      <c r="Q8" s="29"/>
    </row>
    <row r="10">
      <c r="P10" s="7" t="s">
        <v>11</v>
      </c>
    </row>
    <row r="11">
      <c r="B11" s="13" t="s">
        <v>47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5"/>
    </row>
    <row r="12">
      <c r="B12" s="19" t="s">
        <v>40</v>
      </c>
      <c r="C12" s="19" t="s">
        <v>58</v>
      </c>
      <c r="D12" s="19" t="s">
        <v>59</v>
      </c>
      <c r="E12" s="19" t="s">
        <v>61</v>
      </c>
      <c r="F12" s="19" t="s">
        <v>62</v>
      </c>
      <c r="G12" s="19" t="s">
        <v>63</v>
      </c>
      <c r="H12" s="19" t="s">
        <v>65</v>
      </c>
      <c r="I12" s="19" t="s">
        <v>67</v>
      </c>
      <c r="J12" s="19" t="s">
        <v>69</v>
      </c>
      <c r="K12" s="19" t="s">
        <v>71</v>
      </c>
      <c r="L12" s="19" t="s">
        <v>73</v>
      </c>
      <c r="M12" s="19" t="s">
        <v>74</v>
      </c>
      <c r="N12" s="19" t="s">
        <v>75</v>
      </c>
      <c r="O12" s="19" t="s">
        <v>76</v>
      </c>
      <c r="P12" s="19" t="s">
        <v>77</v>
      </c>
      <c r="Q12" s="19" t="s">
        <v>78</v>
      </c>
    </row>
    <row r="13">
      <c r="B13" s="38" t="s">
        <v>60</v>
      </c>
      <c r="C13" s="38" t="s">
        <v>79</v>
      </c>
      <c r="D13" s="39">
        <v>675.45</v>
      </c>
      <c r="E13" s="39">
        <v>16785.57</v>
      </c>
      <c r="F13" s="41">
        <v>37.03</v>
      </c>
      <c r="G13" s="41">
        <v>26.3</v>
      </c>
      <c r="H13" s="41">
        <v>16.0</v>
      </c>
      <c r="I13" s="39">
        <v>42.2</v>
      </c>
      <c r="J13" s="42">
        <v>0.37</v>
      </c>
      <c r="K13" s="42">
        <v>0.483</v>
      </c>
      <c r="L13" s="42">
        <v>0.0184</v>
      </c>
      <c r="M13" s="39">
        <v>825.0</v>
      </c>
      <c r="N13" s="43">
        <f t="shared" ref="N13:N17" si="1">(M13-D13)/D13</f>
        <v>0.2214079503</v>
      </c>
      <c r="O13" s="39">
        <v>615.0</v>
      </c>
      <c r="P13" s="43">
        <f t="shared" ref="P13:P17" si="2">(O13-D13)/D13</f>
        <v>-0.08949589163</v>
      </c>
      <c r="Q13" s="38" t="s">
        <v>104</v>
      </c>
    </row>
    <row r="14">
      <c r="B14" s="49" t="s">
        <v>106</v>
      </c>
      <c r="C14" s="49" t="s">
        <v>107</v>
      </c>
      <c r="D14" s="51">
        <v>864.15</v>
      </c>
      <c r="E14" s="51">
        <v>14938.8</v>
      </c>
      <c r="F14" s="53">
        <v>41.79</v>
      </c>
      <c r="G14" s="53">
        <v>29.8</v>
      </c>
      <c r="H14" s="53">
        <v>9.12</v>
      </c>
      <c r="I14" s="51">
        <v>94.0</v>
      </c>
      <c r="J14" s="54">
        <v>0.216</v>
      </c>
      <c r="K14" s="54">
        <v>0.292</v>
      </c>
      <c r="L14" s="54">
        <v>0.0135</v>
      </c>
      <c r="M14" s="51">
        <v>706.0</v>
      </c>
      <c r="N14" s="55">
        <f t="shared" si="1"/>
        <v>-0.1830122085</v>
      </c>
      <c r="O14" s="51">
        <v>426.0</v>
      </c>
      <c r="P14" s="55">
        <f t="shared" si="2"/>
        <v>-0.5070300295</v>
      </c>
      <c r="Q14" s="49" t="s">
        <v>118</v>
      </c>
    </row>
    <row r="15">
      <c r="B15" s="57" t="s">
        <v>30</v>
      </c>
      <c r="C15" s="57" t="s">
        <v>125</v>
      </c>
      <c r="D15" s="58">
        <v>1224.2</v>
      </c>
      <c r="E15" s="58">
        <v>25585.78</v>
      </c>
      <c r="F15" s="60">
        <v>54.33</v>
      </c>
      <c r="G15" s="60">
        <v>39.5</v>
      </c>
      <c r="H15" s="60">
        <v>13.0</v>
      </c>
      <c r="I15" s="58">
        <v>93.8</v>
      </c>
      <c r="J15" s="61">
        <v>0.245</v>
      </c>
      <c r="K15" s="61">
        <v>0.32</v>
      </c>
      <c r="L15" s="61">
        <v>0.0103</v>
      </c>
      <c r="M15" s="58">
        <v>863.0</v>
      </c>
      <c r="N15" s="62">
        <f t="shared" si="1"/>
        <v>-0.2950498285</v>
      </c>
      <c r="O15" s="58">
        <v>536.0</v>
      </c>
      <c r="P15" s="62">
        <f t="shared" si="2"/>
        <v>-0.5621630453</v>
      </c>
      <c r="Q15" s="57" t="s">
        <v>132</v>
      </c>
    </row>
    <row r="16">
      <c r="B16" s="49" t="s">
        <v>31</v>
      </c>
      <c r="C16" s="49" t="s">
        <v>133</v>
      </c>
      <c r="D16" s="51">
        <v>3466.0</v>
      </c>
      <c r="E16" s="51">
        <v>141372.61</v>
      </c>
      <c r="F16" s="53">
        <v>49.93</v>
      </c>
      <c r="G16" s="53">
        <v>44.2</v>
      </c>
      <c r="H16" s="53">
        <v>21.0</v>
      </c>
      <c r="I16" s="51">
        <v>164.0</v>
      </c>
      <c r="J16" s="54">
        <v>0.46</v>
      </c>
      <c r="K16" s="54">
        <v>0.6</v>
      </c>
      <c r="L16" s="54">
        <v>0.0029</v>
      </c>
      <c r="M16" s="51">
        <v>2445.0</v>
      </c>
      <c r="N16" s="55">
        <f t="shared" si="1"/>
        <v>-0.29457588</v>
      </c>
      <c r="O16" s="51">
        <v>2080.0</v>
      </c>
      <c r="P16" s="55">
        <f t="shared" si="2"/>
        <v>-0.3998845932</v>
      </c>
      <c r="Q16" s="49" t="s">
        <v>138</v>
      </c>
    </row>
    <row r="17">
      <c r="B17" s="66" t="s">
        <v>139</v>
      </c>
      <c r="C17" s="66" t="s">
        <v>90</v>
      </c>
      <c r="D17" s="72">
        <f t="shared" ref="D17:M17" si="3">AVERAGE(D14:D16)</f>
        <v>1851.45</v>
      </c>
      <c r="E17" s="72">
        <f t="shared" si="3"/>
        <v>60632.39667</v>
      </c>
      <c r="F17" s="73">
        <f t="shared" si="3"/>
        <v>48.68333333</v>
      </c>
      <c r="G17" s="73">
        <f t="shared" si="3"/>
        <v>37.83333333</v>
      </c>
      <c r="H17" s="73">
        <f t="shared" si="3"/>
        <v>14.37333333</v>
      </c>
      <c r="I17" s="72">
        <f t="shared" si="3"/>
        <v>117.2666667</v>
      </c>
      <c r="J17" s="76">
        <f t="shared" si="3"/>
        <v>0.307</v>
      </c>
      <c r="K17" s="76">
        <f t="shared" si="3"/>
        <v>0.404</v>
      </c>
      <c r="L17" s="76">
        <f t="shared" si="3"/>
        <v>0.0089</v>
      </c>
      <c r="M17" s="72">
        <f t="shared" si="3"/>
        <v>1338</v>
      </c>
      <c r="N17" s="77">
        <f t="shared" si="1"/>
        <v>-0.2773231791</v>
      </c>
      <c r="O17" s="72">
        <f>AVERAGE(O14:O16)</f>
        <v>1014</v>
      </c>
      <c r="P17" s="77">
        <f t="shared" si="2"/>
        <v>-0.4523211537</v>
      </c>
      <c r="Q17" s="66" t="s">
        <v>193</v>
      </c>
    </row>
    <row r="19">
      <c r="B19" s="13" t="s">
        <v>194</v>
      </c>
      <c r="C19" s="12"/>
      <c r="D19" s="12"/>
      <c r="E19" s="12"/>
      <c r="F19" s="12"/>
      <c r="G19" s="12"/>
      <c r="H19" s="12"/>
      <c r="I19" s="12"/>
      <c r="J19" s="15"/>
    </row>
    <row r="20">
      <c r="B20" s="83" t="s">
        <v>204</v>
      </c>
      <c r="C20" s="83" t="s">
        <v>206</v>
      </c>
      <c r="D20" s="83" t="s">
        <v>207</v>
      </c>
      <c r="E20" s="83" t="s">
        <v>208</v>
      </c>
      <c r="F20" s="83" t="s">
        <v>209</v>
      </c>
      <c r="G20" s="83" t="s">
        <v>210</v>
      </c>
      <c r="H20" s="83" t="s">
        <v>211</v>
      </c>
      <c r="I20" s="83" t="s">
        <v>213</v>
      </c>
      <c r="J20" s="83" t="s">
        <v>215</v>
      </c>
    </row>
    <row r="21">
      <c r="B21" s="49" t="s">
        <v>216</v>
      </c>
      <c r="C21" s="49" t="s">
        <v>218</v>
      </c>
      <c r="D21" s="51">
        <v>250.0</v>
      </c>
      <c r="E21" s="88">
        <f t="shared" ref="E21:E23" si="4">D21/$D$24</f>
        <v>0.5</v>
      </c>
      <c r="F21" s="49" t="s">
        <v>221</v>
      </c>
      <c r="G21" s="51">
        <v>675.0</v>
      </c>
      <c r="H21" s="89">
        <f t="shared" ref="H21:H23" si="5">D21/G21</f>
        <v>0.3703703704</v>
      </c>
      <c r="I21" s="88">
        <f>E21</f>
        <v>0.5</v>
      </c>
      <c r="J21" s="49" t="s">
        <v>233</v>
      </c>
    </row>
    <row r="22">
      <c r="B22" s="57" t="s">
        <v>236</v>
      </c>
      <c r="C22" s="57" t="s">
        <v>238</v>
      </c>
      <c r="D22" s="58">
        <v>150.0</v>
      </c>
      <c r="E22" s="90">
        <f t="shared" si="4"/>
        <v>0.3</v>
      </c>
      <c r="F22" s="57" t="s">
        <v>243</v>
      </c>
      <c r="G22" s="58">
        <v>655.0</v>
      </c>
      <c r="H22" s="92">
        <f t="shared" si="5"/>
        <v>0.2290076336</v>
      </c>
      <c r="I22" s="90">
        <f t="shared" ref="I22:I23" si="6">I21+E22</f>
        <v>0.8</v>
      </c>
      <c r="J22" s="57" t="s">
        <v>259</v>
      </c>
    </row>
    <row r="23">
      <c r="B23" s="49" t="s">
        <v>263</v>
      </c>
      <c r="C23" s="49" t="s">
        <v>265</v>
      </c>
      <c r="D23" s="51">
        <v>100.0</v>
      </c>
      <c r="E23" s="88">
        <f t="shared" si="4"/>
        <v>0.2</v>
      </c>
      <c r="F23" s="49" t="s">
        <v>270</v>
      </c>
      <c r="G23" s="51">
        <v>630.0</v>
      </c>
      <c r="H23" s="89">
        <f t="shared" si="5"/>
        <v>0.1587301587</v>
      </c>
      <c r="I23" s="88">
        <f t="shared" si="6"/>
        <v>1</v>
      </c>
      <c r="J23" s="49" t="s">
        <v>276</v>
      </c>
    </row>
    <row r="24">
      <c r="B24" s="66" t="s">
        <v>278</v>
      </c>
      <c r="C24" s="66" t="s">
        <v>279</v>
      </c>
      <c r="D24" s="72">
        <f t="shared" ref="D24:E24" si="7">SUM(D21:D23)</f>
        <v>500</v>
      </c>
      <c r="E24" s="94">
        <f t="shared" si="7"/>
        <v>1</v>
      </c>
      <c r="F24" s="66" t="s">
        <v>285</v>
      </c>
      <c r="G24" s="72">
        <f>D24/H24</f>
        <v>659.5364944</v>
      </c>
      <c r="H24" s="96">
        <f>SUM(H21:H23)</f>
        <v>0.7581081627</v>
      </c>
      <c r="I24" s="97">
        <f>I23</f>
        <v>1</v>
      </c>
      <c r="J24" s="66" t="s">
        <v>313</v>
      </c>
    </row>
    <row r="26">
      <c r="B26" s="13" t="s">
        <v>317</v>
      </c>
      <c r="C26" s="12"/>
      <c r="D26" s="12"/>
      <c r="E26" s="12"/>
      <c r="F26" s="12"/>
      <c r="G26" s="12"/>
      <c r="H26" s="15"/>
      <c r="O26" s="7" t="s">
        <v>326</v>
      </c>
      <c r="P26" s="7" t="s">
        <v>326</v>
      </c>
    </row>
    <row r="27">
      <c r="B27" s="83" t="s">
        <v>330</v>
      </c>
      <c r="C27" s="83" t="s">
        <v>331</v>
      </c>
      <c r="D27" s="83" t="s">
        <v>333</v>
      </c>
      <c r="E27" s="83" t="s">
        <v>335</v>
      </c>
      <c r="F27" s="83" t="s">
        <v>337</v>
      </c>
      <c r="G27" s="83" t="s">
        <v>338</v>
      </c>
      <c r="H27" s="83" t="s">
        <v>339</v>
      </c>
    </row>
    <row r="28">
      <c r="B28" s="100" t="s">
        <v>340</v>
      </c>
      <c r="C28" s="74" t="s">
        <v>343</v>
      </c>
      <c r="D28" s="74" t="s">
        <v>344</v>
      </c>
      <c r="E28" s="74" t="s">
        <v>345</v>
      </c>
      <c r="F28" s="74" t="s">
        <v>346</v>
      </c>
      <c r="G28" s="74" t="s">
        <v>347</v>
      </c>
      <c r="H28" s="74" t="s">
        <v>348</v>
      </c>
      <c r="L28" s="7" t="s">
        <v>326</v>
      </c>
      <c r="M28" s="7" t="s">
        <v>326</v>
      </c>
      <c r="N28" s="7" t="s">
        <v>326</v>
      </c>
    </row>
    <row r="29">
      <c r="B29" s="100" t="s">
        <v>349</v>
      </c>
      <c r="C29" s="74" t="s">
        <v>350</v>
      </c>
      <c r="D29" s="74" t="s">
        <v>351</v>
      </c>
      <c r="E29" s="74" t="s">
        <v>352</v>
      </c>
      <c r="F29" s="74" t="s">
        <v>353</v>
      </c>
      <c r="G29" s="74" t="s">
        <v>354</v>
      </c>
      <c r="H29" s="74" t="s">
        <v>355</v>
      </c>
      <c r="L29" s="7" t="s">
        <v>326</v>
      </c>
      <c r="M29" s="7" t="s">
        <v>326</v>
      </c>
      <c r="N29" s="7" t="s">
        <v>326</v>
      </c>
    </row>
    <row r="30">
      <c r="B30" s="100" t="s">
        <v>356</v>
      </c>
      <c r="C30" s="74" t="s">
        <v>357</v>
      </c>
      <c r="D30" s="74" t="s">
        <v>358</v>
      </c>
      <c r="E30" s="74" t="s">
        <v>359</v>
      </c>
      <c r="F30" s="74" t="s">
        <v>360</v>
      </c>
      <c r="G30" s="74" t="s">
        <v>361</v>
      </c>
      <c r="H30" s="74" t="s">
        <v>362</v>
      </c>
      <c r="L30" s="7" t="s">
        <v>326</v>
      </c>
      <c r="M30" s="7" t="s">
        <v>326</v>
      </c>
      <c r="N30" s="7" t="s">
        <v>326</v>
      </c>
    </row>
    <row r="31">
      <c r="B31" s="100" t="s">
        <v>363</v>
      </c>
      <c r="C31" s="74" t="s">
        <v>364</v>
      </c>
      <c r="D31" s="74" t="s">
        <v>365</v>
      </c>
      <c r="E31" s="74" t="s">
        <v>366</v>
      </c>
      <c r="F31" s="74" t="s">
        <v>367</v>
      </c>
      <c r="G31" s="74" t="s">
        <v>368</v>
      </c>
      <c r="H31" s="74" t="s">
        <v>370</v>
      </c>
      <c r="L31" s="7" t="s">
        <v>326</v>
      </c>
      <c r="M31" s="7" t="s">
        <v>326</v>
      </c>
      <c r="N31" s="7" t="s">
        <v>326</v>
      </c>
    </row>
  </sheetData>
  <mergeCells count="18">
    <mergeCell ref="F7:I7"/>
    <mergeCell ref="F8:I8"/>
    <mergeCell ref="B19:J19"/>
    <mergeCell ref="B26:H26"/>
    <mergeCell ref="J6:M6"/>
    <mergeCell ref="J7:M7"/>
    <mergeCell ref="F6:I6"/>
    <mergeCell ref="N6:Q6"/>
    <mergeCell ref="N7:Q7"/>
    <mergeCell ref="N8:Q8"/>
    <mergeCell ref="B2:Q2"/>
    <mergeCell ref="B3:Q3"/>
    <mergeCell ref="B4:Q4"/>
    <mergeCell ref="B6:E6"/>
    <mergeCell ref="B7:E7"/>
    <mergeCell ref="B8:E8"/>
    <mergeCell ref="J8:M8"/>
    <mergeCell ref="B11:Q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6533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63"/>
    <col customWidth="1" min="3" max="3" width="12.63"/>
    <col customWidth="1" min="4" max="4" width="11.38"/>
    <col customWidth="1" min="5" max="5" width="28.88"/>
    <col customWidth="1" min="6" max="6" width="32.63"/>
    <col customWidth="1" min="7" max="7" width="13.88"/>
    <col customWidth="1" min="8" max="9" width="11.38"/>
    <col customWidth="1" min="10" max="10" width="31.38"/>
    <col customWidth="1" min="11" max="12" width="13.88"/>
  </cols>
  <sheetData>
    <row r="2">
      <c r="B2" s="1" t="s">
        <v>2</v>
      </c>
    </row>
    <row r="3">
      <c r="B3" s="2" t="s">
        <v>6</v>
      </c>
    </row>
    <row r="4">
      <c r="B4" s="3" t="s">
        <v>9</v>
      </c>
      <c r="K4" s="7" t="s">
        <v>11</v>
      </c>
    </row>
    <row r="6">
      <c r="B6" s="13" t="s">
        <v>17</v>
      </c>
      <c r="C6" s="12"/>
      <c r="D6" s="12"/>
      <c r="E6" s="15"/>
      <c r="F6" s="22" t="s">
        <v>24</v>
      </c>
      <c r="G6" s="12"/>
      <c r="H6" s="12"/>
      <c r="I6" s="12"/>
      <c r="J6" s="15"/>
    </row>
    <row r="7">
      <c r="B7" s="26" t="s">
        <v>36</v>
      </c>
      <c r="C7" s="31">
        <v>675.45</v>
      </c>
      <c r="D7" s="26" t="s">
        <v>42</v>
      </c>
      <c r="E7" s="26" t="s">
        <v>44</v>
      </c>
      <c r="F7" s="26" t="s">
        <v>45</v>
      </c>
      <c r="G7" s="31">
        <v>2485.0</v>
      </c>
      <c r="H7" s="26" t="s">
        <v>50</v>
      </c>
      <c r="I7" s="35">
        <v>0.18</v>
      </c>
      <c r="J7" s="26" t="s">
        <v>56</v>
      </c>
    </row>
    <row r="8">
      <c r="B8" s="26" t="s">
        <v>57</v>
      </c>
      <c r="C8" s="37">
        <v>24.85</v>
      </c>
      <c r="D8" s="26" t="s">
        <v>64</v>
      </c>
      <c r="E8" s="26" t="s">
        <v>66</v>
      </c>
      <c r="F8" s="26" t="s">
        <v>68</v>
      </c>
      <c r="G8" s="31">
        <f>K35*(1+C16)</f>
        <v>978.46875</v>
      </c>
      <c r="H8" s="26" t="s">
        <v>50</v>
      </c>
      <c r="I8" s="26" t="s">
        <v>90</v>
      </c>
      <c r="J8" s="26" t="s">
        <v>92</v>
      </c>
    </row>
    <row r="9">
      <c r="B9" s="26" t="s">
        <v>93</v>
      </c>
      <c r="C9" s="45">
        <v>0.068</v>
      </c>
      <c r="D9" s="26" t="s">
        <v>97</v>
      </c>
      <c r="E9" s="26" t="s">
        <v>100</v>
      </c>
      <c r="F9" s="26" t="s">
        <v>101</v>
      </c>
      <c r="G9" s="31">
        <f>G8/(C15-C16)</f>
        <v>19569.375</v>
      </c>
      <c r="H9" s="26" t="s">
        <v>50</v>
      </c>
      <c r="I9" s="26" t="s">
        <v>90</v>
      </c>
      <c r="J9" s="26" t="s">
        <v>109</v>
      </c>
    </row>
    <row r="10">
      <c r="B10" s="26" t="s">
        <v>110</v>
      </c>
      <c r="C10" s="45">
        <v>0.055</v>
      </c>
      <c r="D10" s="26" t="s">
        <v>97</v>
      </c>
      <c r="E10" s="26" t="s">
        <v>112</v>
      </c>
      <c r="F10" s="26" t="s">
        <v>114</v>
      </c>
      <c r="G10" s="31">
        <v>11328.0</v>
      </c>
      <c r="H10" s="26" t="s">
        <v>50</v>
      </c>
      <c r="I10" s="35">
        <v>0.82</v>
      </c>
      <c r="J10" s="26" t="s">
        <v>115</v>
      </c>
    </row>
    <row r="11">
      <c r="B11" s="26" t="s">
        <v>116</v>
      </c>
      <c r="C11" s="56">
        <v>0.85</v>
      </c>
      <c r="D11" s="26" t="s">
        <v>119</v>
      </c>
      <c r="E11" s="26" t="s">
        <v>121</v>
      </c>
      <c r="F11" s="59" t="s">
        <v>126</v>
      </c>
      <c r="G11" s="64">
        <f>G7+G10</f>
        <v>13813</v>
      </c>
      <c r="H11" s="59" t="s">
        <v>50</v>
      </c>
      <c r="I11" s="65">
        <v>1.0</v>
      </c>
      <c r="J11" s="59" t="s">
        <v>135</v>
      </c>
    </row>
    <row r="12">
      <c r="B12" s="26" t="s">
        <v>137</v>
      </c>
      <c r="C12" s="68">
        <f>C9+C11*C10</f>
        <v>0.11475</v>
      </c>
      <c r="D12" s="26" t="s">
        <v>97</v>
      </c>
      <c r="E12" s="26" t="s">
        <v>144</v>
      </c>
      <c r="F12" s="26" t="s">
        <v>145</v>
      </c>
      <c r="G12" s="31">
        <v>6700.0</v>
      </c>
      <c r="H12" s="26" t="s">
        <v>50</v>
      </c>
      <c r="I12" s="26" t="s">
        <v>90</v>
      </c>
      <c r="J12" s="26" t="s">
        <v>146</v>
      </c>
    </row>
    <row r="13">
      <c r="B13" s="26" t="s">
        <v>147</v>
      </c>
      <c r="C13" s="45">
        <v>0.0</v>
      </c>
      <c r="D13" s="26" t="s">
        <v>97</v>
      </c>
      <c r="E13" s="26" t="s">
        <v>148</v>
      </c>
      <c r="F13" s="26" t="s">
        <v>149</v>
      </c>
      <c r="G13" s="31">
        <v>0.0</v>
      </c>
      <c r="H13" s="26" t="s">
        <v>50</v>
      </c>
      <c r="I13" s="26" t="s">
        <v>90</v>
      </c>
      <c r="J13" s="26" t="s">
        <v>150</v>
      </c>
    </row>
    <row r="14">
      <c r="B14" s="26" t="s">
        <v>152</v>
      </c>
      <c r="C14" s="45">
        <v>0.25</v>
      </c>
      <c r="D14" s="26" t="s">
        <v>97</v>
      </c>
      <c r="E14" s="26" t="s">
        <v>154</v>
      </c>
      <c r="F14" s="59" t="s">
        <v>157</v>
      </c>
      <c r="G14" s="64">
        <f>G11+G12-G13</f>
        <v>20513</v>
      </c>
      <c r="H14" s="59" t="s">
        <v>50</v>
      </c>
      <c r="I14" s="59" t="s">
        <v>90</v>
      </c>
      <c r="J14" s="59" t="s">
        <v>174</v>
      </c>
    </row>
    <row r="15">
      <c r="B15" s="26" t="s">
        <v>178</v>
      </c>
      <c r="C15" s="45">
        <v>0.115</v>
      </c>
      <c r="D15" s="26" t="s">
        <v>97</v>
      </c>
      <c r="E15" s="26" t="s">
        <v>184</v>
      </c>
      <c r="F15" s="26" t="s">
        <v>57</v>
      </c>
      <c r="G15" s="81">
        <f>C8</f>
        <v>24.85</v>
      </c>
      <c r="H15" s="26" t="s">
        <v>64</v>
      </c>
      <c r="I15" s="26" t="s">
        <v>90</v>
      </c>
      <c r="J15" s="26" t="s">
        <v>196</v>
      </c>
    </row>
    <row r="16">
      <c r="B16" s="26" t="s">
        <v>198</v>
      </c>
      <c r="C16" s="45">
        <v>0.065</v>
      </c>
      <c r="D16" s="26" t="s">
        <v>97</v>
      </c>
      <c r="E16" s="26" t="s">
        <v>200</v>
      </c>
      <c r="F16" s="26" t="s">
        <v>202</v>
      </c>
      <c r="G16" s="87">
        <f>G14/G15</f>
        <v>825.472837</v>
      </c>
      <c r="H16" s="26" t="s">
        <v>42</v>
      </c>
      <c r="I16" s="26" t="s">
        <v>90</v>
      </c>
      <c r="J16" s="26" t="s">
        <v>219</v>
      </c>
    </row>
    <row r="17">
      <c r="B17" s="26" t="s">
        <v>220</v>
      </c>
      <c r="C17" s="68">
        <f>C15-C16</f>
        <v>0.05</v>
      </c>
      <c r="D17" s="26" t="s">
        <v>97</v>
      </c>
      <c r="E17" s="26" t="s">
        <v>230</v>
      </c>
      <c r="F17" s="26" t="s">
        <v>231</v>
      </c>
      <c r="G17" s="93">
        <f>(G16-C7)/C7</f>
        <v>0.2221079829</v>
      </c>
      <c r="H17" s="26" t="s">
        <v>252</v>
      </c>
      <c r="I17" s="26" t="s">
        <v>90</v>
      </c>
      <c r="J17" s="26" t="s">
        <v>255</v>
      </c>
    </row>
    <row r="18">
      <c r="B18" s="7" t="s">
        <v>261</v>
      </c>
    </row>
    <row r="19">
      <c r="B19" s="13" t="s">
        <v>266</v>
      </c>
      <c r="C19" s="12"/>
      <c r="D19" s="12"/>
      <c r="E19" s="12"/>
      <c r="F19" s="12"/>
      <c r="G19" s="12"/>
      <c r="H19" s="12"/>
      <c r="I19" s="12"/>
      <c r="J19" s="12"/>
      <c r="K19" s="12"/>
      <c r="L19" s="15"/>
    </row>
    <row r="20">
      <c r="B20" s="83" t="s">
        <v>282</v>
      </c>
      <c r="C20" s="83" t="s">
        <v>287</v>
      </c>
      <c r="D20" s="83" t="s">
        <v>290</v>
      </c>
      <c r="E20" s="83" t="s">
        <v>292</v>
      </c>
      <c r="F20" s="83" t="s">
        <v>294</v>
      </c>
      <c r="G20" s="83" t="s">
        <v>297</v>
      </c>
      <c r="H20" s="83" t="s">
        <v>299</v>
      </c>
      <c r="I20" s="83" t="s">
        <v>300</v>
      </c>
      <c r="J20" s="83" t="s">
        <v>301</v>
      </c>
      <c r="K20" s="83" t="s">
        <v>302</v>
      </c>
      <c r="L20" s="83" t="s">
        <v>303</v>
      </c>
    </row>
    <row r="21">
      <c r="B21" s="27" t="s">
        <v>304</v>
      </c>
      <c r="C21" s="27" t="s">
        <v>306</v>
      </c>
      <c r="D21" s="30">
        <v>825.0</v>
      </c>
      <c r="E21" s="30">
        <v>928.0</v>
      </c>
      <c r="F21" s="30">
        <v>1161.0</v>
      </c>
      <c r="G21" s="30">
        <v>1331.0</v>
      </c>
      <c r="H21" s="30">
        <v>1533.0</v>
      </c>
      <c r="I21" s="30">
        <v>1765.0</v>
      </c>
      <c r="J21" s="30">
        <v>2023.0</v>
      </c>
      <c r="K21" s="30">
        <v>2308.0</v>
      </c>
      <c r="L21" s="79">
        <f t="shared" ref="L21:L23" si="1">(K21/F21)^(1/5)-1</f>
        <v>0.1473098363</v>
      </c>
    </row>
    <row r="22">
      <c r="B22" s="27" t="s">
        <v>341</v>
      </c>
      <c r="C22" s="27" t="s">
        <v>342</v>
      </c>
      <c r="D22" s="30">
        <v>104.0</v>
      </c>
      <c r="E22" s="30">
        <v>126.0</v>
      </c>
      <c r="F22" s="30">
        <v>173.0</v>
      </c>
      <c r="G22" s="30">
        <v>217.0</v>
      </c>
      <c r="H22" s="30">
        <v>270.0</v>
      </c>
      <c r="I22" s="30">
        <v>336.0</v>
      </c>
      <c r="J22" s="30">
        <v>414.0</v>
      </c>
      <c r="K22" s="30">
        <v>507.0</v>
      </c>
      <c r="L22" s="79">
        <f t="shared" si="1"/>
        <v>0.2399163056</v>
      </c>
    </row>
    <row r="23">
      <c r="B23" s="47" t="s">
        <v>369</v>
      </c>
      <c r="C23" s="47" t="s">
        <v>371</v>
      </c>
      <c r="D23" s="52">
        <f t="shared" ref="D23:K23" si="2">D21+D22</f>
        <v>929</v>
      </c>
      <c r="E23" s="52">
        <f t="shared" si="2"/>
        <v>1054</v>
      </c>
      <c r="F23" s="52">
        <f t="shared" si="2"/>
        <v>1334</v>
      </c>
      <c r="G23" s="52">
        <f t="shared" si="2"/>
        <v>1548</v>
      </c>
      <c r="H23" s="52">
        <f t="shared" si="2"/>
        <v>1803</v>
      </c>
      <c r="I23" s="52">
        <f t="shared" si="2"/>
        <v>2101</v>
      </c>
      <c r="J23" s="52">
        <f t="shared" si="2"/>
        <v>2437</v>
      </c>
      <c r="K23" s="52">
        <f t="shared" si="2"/>
        <v>2815</v>
      </c>
      <c r="L23" s="71">
        <f t="shared" si="1"/>
        <v>0.1610863353</v>
      </c>
    </row>
    <row r="24">
      <c r="B24" s="27" t="s">
        <v>372</v>
      </c>
      <c r="C24" s="27" t="s">
        <v>373</v>
      </c>
      <c r="D24" s="82" t="s">
        <v>90</v>
      </c>
      <c r="E24" s="79">
        <f t="shared" ref="E24:K24" si="3">(E23-D23)/D23</f>
        <v>0.1345532831</v>
      </c>
      <c r="F24" s="79">
        <f t="shared" si="3"/>
        <v>0.265654649</v>
      </c>
      <c r="G24" s="79">
        <f t="shared" si="3"/>
        <v>0.1604197901</v>
      </c>
      <c r="H24" s="79">
        <f t="shared" si="3"/>
        <v>0.1647286822</v>
      </c>
      <c r="I24" s="79">
        <f t="shared" si="3"/>
        <v>0.1652800887</v>
      </c>
      <c r="J24" s="79">
        <f t="shared" si="3"/>
        <v>0.1599238458</v>
      </c>
      <c r="K24" s="79">
        <f t="shared" si="3"/>
        <v>0.1551087403</v>
      </c>
      <c r="L24" s="82" t="s">
        <v>90</v>
      </c>
    </row>
    <row r="25">
      <c r="B25" s="27" t="s">
        <v>374</v>
      </c>
      <c r="C25" s="27" t="s">
        <v>375</v>
      </c>
      <c r="D25" s="30">
        <v>523.0</v>
      </c>
      <c r="E25" s="30">
        <v>573.0</v>
      </c>
      <c r="F25" s="30">
        <v>715.0</v>
      </c>
      <c r="G25" s="30">
        <v>836.0</v>
      </c>
      <c r="H25" s="30">
        <v>965.0</v>
      </c>
      <c r="I25" s="30">
        <v>1114.0</v>
      </c>
      <c r="J25" s="30">
        <v>1280.0</v>
      </c>
      <c r="K25" s="30">
        <v>1464.0</v>
      </c>
      <c r="L25" s="79">
        <f t="shared" ref="L25:L26" si="5">(K25/F25)^(1/5)-1</f>
        <v>0.1541094763</v>
      </c>
    </row>
    <row r="26">
      <c r="B26" s="47" t="s">
        <v>81</v>
      </c>
      <c r="C26" s="47" t="s">
        <v>377</v>
      </c>
      <c r="D26" s="52">
        <f t="shared" ref="D26:K26" si="4">D23-D25</f>
        <v>406</v>
      </c>
      <c r="E26" s="52">
        <f t="shared" si="4"/>
        <v>481</v>
      </c>
      <c r="F26" s="52">
        <f t="shared" si="4"/>
        <v>619</v>
      </c>
      <c r="G26" s="52">
        <f t="shared" si="4"/>
        <v>712</v>
      </c>
      <c r="H26" s="52">
        <f t="shared" si="4"/>
        <v>838</v>
      </c>
      <c r="I26" s="52">
        <f t="shared" si="4"/>
        <v>987</v>
      </c>
      <c r="J26" s="52">
        <f t="shared" si="4"/>
        <v>1157</v>
      </c>
      <c r="K26" s="52">
        <f t="shared" si="4"/>
        <v>1351</v>
      </c>
      <c r="L26" s="71">
        <f t="shared" si="5"/>
        <v>0.1689419379</v>
      </c>
    </row>
    <row r="27">
      <c r="B27" s="27" t="s">
        <v>378</v>
      </c>
      <c r="C27" s="27" t="s">
        <v>379</v>
      </c>
      <c r="D27" s="79">
        <f t="shared" ref="D27:K27" si="6">D26/D23</f>
        <v>0.4370290635</v>
      </c>
      <c r="E27" s="79">
        <f t="shared" si="6"/>
        <v>0.4563567362</v>
      </c>
      <c r="F27" s="79">
        <f t="shared" si="6"/>
        <v>0.464017991</v>
      </c>
      <c r="G27" s="79">
        <f t="shared" si="6"/>
        <v>0.4599483204</v>
      </c>
      <c r="H27" s="79">
        <f t="shared" si="6"/>
        <v>0.4647809207</v>
      </c>
      <c r="I27" s="79">
        <f t="shared" si="6"/>
        <v>0.469776297</v>
      </c>
      <c r="J27" s="79">
        <f t="shared" si="6"/>
        <v>0.4747640542</v>
      </c>
      <c r="K27" s="79">
        <f t="shared" si="6"/>
        <v>0.479928952</v>
      </c>
      <c r="L27" s="82" t="s">
        <v>90</v>
      </c>
    </row>
    <row r="28">
      <c r="B28" s="27" t="s">
        <v>380</v>
      </c>
      <c r="C28" s="27" t="s">
        <v>381</v>
      </c>
      <c r="D28" s="30">
        <v>58.0</v>
      </c>
      <c r="E28" s="30">
        <v>64.0</v>
      </c>
      <c r="F28" s="30">
        <v>70.0</v>
      </c>
      <c r="G28" s="30">
        <v>72.0</v>
      </c>
      <c r="H28" s="30">
        <v>76.0</v>
      </c>
      <c r="I28" s="30">
        <v>78.0</v>
      </c>
      <c r="J28" s="30">
        <v>80.0</v>
      </c>
      <c r="K28" s="30">
        <v>82.0</v>
      </c>
      <c r="L28" s="79">
        <f t="shared" ref="L28:L31" si="8">(K28/F28)^(1/5)-1</f>
        <v>0.03215082129</v>
      </c>
    </row>
    <row r="29">
      <c r="B29" s="47" t="s">
        <v>382</v>
      </c>
      <c r="C29" s="47" t="s">
        <v>383</v>
      </c>
      <c r="D29" s="52">
        <f t="shared" ref="D29:K29" si="7">D26-D28</f>
        <v>348</v>
      </c>
      <c r="E29" s="52">
        <f t="shared" si="7"/>
        <v>417</v>
      </c>
      <c r="F29" s="52">
        <f t="shared" si="7"/>
        <v>549</v>
      </c>
      <c r="G29" s="52">
        <f t="shared" si="7"/>
        <v>640</v>
      </c>
      <c r="H29" s="52">
        <f t="shared" si="7"/>
        <v>762</v>
      </c>
      <c r="I29" s="52">
        <f t="shared" si="7"/>
        <v>909</v>
      </c>
      <c r="J29" s="52">
        <f t="shared" si="7"/>
        <v>1077</v>
      </c>
      <c r="K29" s="52">
        <f t="shared" si="7"/>
        <v>1269</v>
      </c>
      <c r="L29" s="71">
        <f t="shared" si="8"/>
        <v>0.182436577</v>
      </c>
    </row>
    <row r="30">
      <c r="B30" s="27" t="s">
        <v>384</v>
      </c>
      <c r="C30" s="27" t="s">
        <v>385</v>
      </c>
      <c r="D30" s="30">
        <v>87.0</v>
      </c>
      <c r="E30" s="30">
        <v>104.25</v>
      </c>
      <c r="F30" s="30">
        <v>137.25</v>
      </c>
      <c r="G30" s="40">
        <f t="shared" ref="G30:K30" si="9">G29*$C$14</f>
        <v>160</v>
      </c>
      <c r="H30" s="40">
        <f t="shared" si="9"/>
        <v>190.5</v>
      </c>
      <c r="I30" s="40">
        <f t="shared" si="9"/>
        <v>227.25</v>
      </c>
      <c r="J30" s="40">
        <f t="shared" si="9"/>
        <v>269.25</v>
      </c>
      <c r="K30" s="40">
        <f t="shared" si="9"/>
        <v>317.25</v>
      </c>
      <c r="L30" s="79">
        <f t="shared" si="8"/>
        <v>0.182436577</v>
      </c>
    </row>
    <row r="31">
      <c r="B31" s="47" t="s">
        <v>386</v>
      </c>
      <c r="C31" s="47" t="s">
        <v>387</v>
      </c>
      <c r="D31" s="52">
        <f t="shared" ref="D31:K31" si="10">D29-D30</f>
        <v>261</v>
      </c>
      <c r="E31" s="52">
        <f t="shared" si="10"/>
        <v>312.75</v>
      </c>
      <c r="F31" s="52">
        <f t="shared" si="10"/>
        <v>411.75</v>
      </c>
      <c r="G31" s="52">
        <f t="shared" si="10"/>
        <v>480</v>
      </c>
      <c r="H31" s="52">
        <f t="shared" si="10"/>
        <v>571.5</v>
      </c>
      <c r="I31" s="52">
        <f t="shared" si="10"/>
        <v>681.75</v>
      </c>
      <c r="J31" s="52">
        <f t="shared" si="10"/>
        <v>807.75</v>
      </c>
      <c r="K31" s="52">
        <f t="shared" si="10"/>
        <v>951.75</v>
      </c>
      <c r="L31" s="71">
        <f t="shared" si="8"/>
        <v>0.182436577</v>
      </c>
    </row>
    <row r="32">
      <c r="B32" s="27" t="s">
        <v>388</v>
      </c>
      <c r="C32" s="27" t="s">
        <v>389</v>
      </c>
      <c r="D32" s="30" t="s">
        <v>90</v>
      </c>
      <c r="E32" s="30" t="s">
        <v>90</v>
      </c>
      <c r="F32" s="30" t="s">
        <v>90</v>
      </c>
      <c r="G32" s="40">
        <f t="shared" ref="G32:K32" si="11">G28</f>
        <v>72</v>
      </c>
      <c r="H32" s="40">
        <f t="shared" si="11"/>
        <v>76</v>
      </c>
      <c r="I32" s="40">
        <f t="shared" si="11"/>
        <v>78</v>
      </c>
      <c r="J32" s="40">
        <f t="shared" si="11"/>
        <v>80</v>
      </c>
      <c r="K32" s="40">
        <f t="shared" si="11"/>
        <v>82</v>
      </c>
      <c r="L32" s="82" t="s">
        <v>90</v>
      </c>
    </row>
    <row r="33">
      <c r="B33" s="27" t="s">
        <v>390</v>
      </c>
      <c r="C33" s="27" t="s">
        <v>391</v>
      </c>
      <c r="D33" s="30" t="s">
        <v>90</v>
      </c>
      <c r="E33" s="30" t="s">
        <v>90</v>
      </c>
      <c r="F33" s="30" t="s">
        <v>90</v>
      </c>
      <c r="G33" s="30">
        <v>55.0</v>
      </c>
      <c r="H33" s="30">
        <v>60.0</v>
      </c>
      <c r="I33" s="30">
        <v>65.0</v>
      </c>
      <c r="J33" s="30">
        <v>70.0</v>
      </c>
      <c r="K33" s="30">
        <v>75.0</v>
      </c>
      <c r="L33" s="79">
        <f t="shared" ref="L33:L35" si="12">(K33/G33)^(1/4)-1</f>
        <v>0.08062408646</v>
      </c>
    </row>
    <row r="34">
      <c r="B34" s="27" t="s">
        <v>392</v>
      </c>
      <c r="C34" s="27" t="s">
        <v>393</v>
      </c>
      <c r="D34" s="30" t="s">
        <v>90</v>
      </c>
      <c r="E34" s="30" t="s">
        <v>90</v>
      </c>
      <c r="F34" s="30" t="s">
        <v>90</v>
      </c>
      <c r="G34" s="30">
        <v>25.0</v>
      </c>
      <c r="H34" s="30">
        <v>28.0</v>
      </c>
      <c r="I34" s="30">
        <v>32.0</v>
      </c>
      <c r="J34" s="30">
        <v>35.0</v>
      </c>
      <c r="K34" s="30">
        <v>40.0</v>
      </c>
      <c r="L34" s="79">
        <f t="shared" si="12"/>
        <v>0.1246826504</v>
      </c>
    </row>
    <row r="35">
      <c r="B35" s="38" t="s">
        <v>394</v>
      </c>
      <c r="C35" s="38" t="s">
        <v>395</v>
      </c>
      <c r="D35" s="39" t="s">
        <v>90</v>
      </c>
      <c r="E35" s="39" t="s">
        <v>90</v>
      </c>
      <c r="F35" s="39" t="s">
        <v>90</v>
      </c>
      <c r="G35" s="63">
        <f t="shared" ref="G35:K35" si="13">G31+G32-G33-G34</f>
        <v>472</v>
      </c>
      <c r="H35" s="63">
        <f t="shared" si="13"/>
        <v>559.5</v>
      </c>
      <c r="I35" s="63">
        <f t="shared" si="13"/>
        <v>662.75</v>
      </c>
      <c r="J35" s="63">
        <f t="shared" si="13"/>
        <v>782.75</v>
      </c>
      <c r="K35" s="63">
        <f t="shared" si="13"/>
        <v>918.75</v>
      </c>
      <c r="L35" s="70">
        <f t="shared" si="12"/>
        <v>0.1811738903</v>
      </c>
    </row>
    <row r="36">
      <c r="B36" s="27" t="s">
        <v>397</v>
      </c>
      <c r="C36" s="27" t="s">
        <v>398</v>
      </c>
      <c r="D36" s="104" t="s">
        <v>90</v>
      </c>
      <c r="E36" s="104" t="s">
        <v>90</v>
      </c>
      <c r="F36" s="104">
        <v>0.0</v>
      </c>
      <c r="G36" s="104">
        <v>1.0</v>
      </c>
      <c r="H36" s="104">
        <v>2.0</v>
      </c>
      <c r="I36" s="104">
        <v>3.0</v>
      </c>
      <c r="J36" s="104">
        <v>4.0</v>
      </c>
      <c r="K36" s="104">
        <v>5.0</v>
      </c>
      <c r="L36" s="27" t="s">
        <v>90</v>
      </c>
    </row>
    <row r="37">
      <c r="B37" s="27" t="s">
        <v>399</v>
      </c>
      <c r="C37" s="27" t="s">
        <v>400</v>
      </c>
      <c r="D37" s="106" t="s">
        <v>90</v>
      </c>
      <c r="E37" s="106" t="s">
        <v>90</v>
      </c>
      <c r="F37" s="106">
        <v>1.0</v>
      </c>
      <c r="G37" s="107">
        <f t="shared" ref="G37:K37" si="14">1/(1+$C$15)^G36</f>
        <v>0.8968609865</v>
      </c>
      <c r="H37" s="107">
        <f t="shared" si="14"/>
        <v>0.8043596292</v>
      </c>
      <c r="I37" s="107">
        <f t="shared" si="14"/>
        <v>0.7213987706</v>
      </c>
      <c r="J37" s="107">
        <f t="shared" si="14"/>
        <v>0.6469944131</v>
      </c>
      <c r="K37" s="107">
        <f t="shared" si="14"/>
        <v>0.5802640476</v>
      </c>
      <c r="L37" s="27" t="s">
        <v>90</v>
      </c>
    </row>
    <row r="38">
      <c r="B38" s="66" t="s">
        <v>401</v>
      </c>
      <c r="C38" s="66" t="s">
        <v>402</v>
      </c>
      <c r="D38" s="108" t="s">
        <v>90</v>
      </c>
      <c r="E38" s="108" t="s">
        <v>90</v>
      </c>
      <c r="F38" s="108" t="s">
        <v>90</v>
      </c>
      <c r="G38" s="72">
        <f t="shared" ref="G38:K38" si="15">G35*G37</f>
        <v>423.3183857</v>
      </c>
      <c r="H38" s="72">
        <f t="shared" si="15"/>
        <v>450.0392125</v>
      </c>
      <c r="I38" s="72">
        <f t="shared" si="15"/>
        <v>478.1070352</v>
      </c>
      <c r="J38" s="72">
        <f t="shared" si="15"/>
        <v>506.4348768</v>
      </c>
      <c r="K38" s="72">
        <f t="shared" si="15"/>
        <v>533.1175937</v>
      </c>
      <c r="L38" s="72">
        <f>SUM(G38:K38)</f>
        <v>2391.017104</v>
      </c>
    </row>
  </sheetData>
  <mergeCells count="6">
    <mergeCell ref="B2:J2"/>
    <mergeCell ref="B3:J3"/>
    <mergeCell ref="B4:J4"/>
    <mergeCell ref="B6:E6"/>
    <mergeCell ref="F6:J6"/>
    <mergeCell ref="B19:L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47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1.38"/>
    <col customWidth="1" min="3" max="3" width="32.63"/>
    <col customWidth="1" min="4" max="4" width="17.0"/>
    <col customWidth="1" min="5" max="7" width="15.13"/>
    <col customWidth="1" min="8" max="9" width="15.75"/>
    <col customWidth="1" min="10" max="10" width="42.63"/>
  </cols>
  <sheetData>
    <row r="2">
      <c r="B2" s="1" t="s">
        <v>4</v>
      </c>
    </row>
    <row r="3">
      <c r="B3" s="2" t="s">
        <v>7</v>
      </c>
    </row>
    <row r="4">
      <c r="B4" s="3" t="s">
        <v>8</v>
      </c>
    </row>
    <row r="7">
      <c r="B7" s="13" t="s">
        <v>13</v>
      </c>
      <c r="C7" s="12"/>
      <c r="D7" s="12"/>
      <c r="E7" s="12"/>
      <c r="F7" s="12"/>
      <c r="G7" s="12"/>
      <c r="H7" s="12"/>
      <c r="I7" s="12"/>
      <c r="J7" s="15"/>
    </row>
    <row r="8">
      <c r="B8" s="19" t="s">
        <v>22</v>
      </c>
      <c r="C8" s="19" t="s">
        <v>26</v>
      </c>
      <c r="D8" s="19" t="s">
        <v>28</v>
      </c>
      <c r="E8" s="19" t="s">
        <v>29</v>
      </c>
      <c r="F8" s="19" t="s">
        <v>30</v>
      </c>
      <c r="G8" s="19" t="s">
        <v>31</v>
      </c>
      <c r="H8" s="19" t="s">
        <v>32</v>
      </c>
      <c r="I8" s="19" t="s">
        <v>33</v>
      </c>
      <c r="J8" s="19" t="s">
        <v>34</v>
      </c>
    </row>
    <row r="9">
      <c r="B9" s="27" t="s">
        <v>37</v>
      </c>
      <c r="C9" s="27" t="s">
        <v>38</v>
      </c>
      <c r="D9" s="30">
        <v>1334.0</v>
      </c>
      <c r="E9" s="30">
        <v>1091.0</v>
      </c>
      <c r="F9" s="30">
        <v>1082.0</v>
      </c>
      <c r="G9" s="30">
        <v>1566.0</v>
      </c>
      <c r="H9" s="40">
        <f t="shared" ref="H9:H20" si="1">MAX(D9:G9)-MIN(D9:G9)</f>
        <v>484</v>
      </c>
      <c r="I9" s="40">
        <f t="shared" ref="I9:I20" si="2">AVERAGE(E9:G9)</f>
        <v>1246.333333</v>
      </c>
      <c r="J9" s="27" t="s">
        <v>80</v>
      </c>
    </row>
    <row r="10">
      <c r="B10" s="27" t="s">
        <v>81</v>
      </c>
      <c r="C10" s="27" t="s">
        <v>82</v>
      </c>
      <c r="D10" s="30">
        <v>619.0</v>
      </c>
      <c r="E10" s="30">
        <v>469.0</v>
      </c>
      <c r="F10" s="30">
        <v>605.0</v>
      </c>
      <c r="G10" s="30">
        <v>1127.0</v>
      </c>
      <c r="H10" s="40">
        <f t="shared" si="1"/>
        <v>658</v>
      </c>
      <c r="I10" s="40">
        <f t="shared" si="2"/>
        <v>733.6666667</v>
      </c>
      <c r="J10" s="27" t="s">
        <v>83</v>
      </c>
    </row>
    <row r="11">
      <c r="B11" s="27" t="s">
        <v>84</v>
      </c>
      <c r="C11" s="27" t="s">
        <v>85</v>
      </c>
      <c r="D11" s="30">
        <v>415.0</v>
      </c>
      <c r="E11" s="30">
        <v>333.0</v>
      </c>
      <c r="F11" s="30">
        <v>420.0</v>
      </c>
      <c r="G11" s="30">
        <v>873.0</v>
      </c>
      <c r="H11" s="40">
        <f t="shared" si="1"/>
        <v>540</v>
      </c>
      <c r="I11" s="40">
        <f t="shared" si="2"/>
        <v>542</v>
      </c>
      <c r="J11" s="27" t="s">
        <v>88</v>
      </c>
    </row>
    <row r="12">
      <c r="B12" s="27" t="s">
        <v>89</v>
      </c>
      <c r="C12" s="27" t="s">
        <v>91</v>
      </c>
      <c r="D12" s="30">
        <v>70.0</v>
      </c>
      <c r="E12" s="30">
        <v>52.0</v>
      </c>
      <c r="F12" s="30">
        <v>45.0</v>
      </c>
      <c r="G12" s="30">
        <v>65.0</v>
      </c>
      <c r="H12" s="40">
        <f t="shared" si="1"/>
        <v>25</v>
      </c>
      <c r="I12" s="40">
        <f t="shared" si="2"/>
        <v>54</v>
      </c>
      <c r="J12" s="27" t="s">
        <v>94</v>
      </c>
    </row>
    <row r="13">
      <c r="B13" s="27" t="s">
        <v>95</v>
      </c>
      <c r="C13" s="27" t="s">
        <v>96</v>
      </c>
      <c r="D13" s="30">
        <v>-87.0</v>
      </c>
      <c r="E13" s="30">
        <v>-100.0</v>
      </c>
      <c r="F13" s="30">
        <v>-100.0</v>
      </c>
      <c r="G13" s="30">
        <v>-158.0</v>
      </c>
      <c r="H13" s="40">
        <f t="shared" si="1"/>
        <v>71</v>
      </c>
      <c r="I13" s="40">
        <f t="shared" si="2"/>
        <v>-119.3333333</v>
      </c>
      <c r="J13" s="27" t="s">
        <v>102</v>
      </c>
    </row>
    <row r="14">
      <c r="B14" s="47" t="s">
        <v>103</v>
      </c>
      <c r="C14" s="47" t="s">
        <v>105</v>
      </c>
      <c r="D14" s="50">
        <v>398.0</v>
      </c>
      <c r="E14" s="50">
        <v>285.0</v>
      </c>
      <c r="F14" s="50">
        <v>365.0</v>
      </c>
      <c r="G14" s="50">
        <v>780.0</v>
      </c>
      <c r="H14" s="52">
        <f t="shared" si="1"/>
        <v>495</v>
      </c>
      <c r="I14" s="52">
        <f t="shared" si="2"/>
        <v>476.6666667</v>
      </c>
      <c r="J14" s="47" t="s">
        <v>120</v>
      </c>
    </row>
    <row r="15">
      <c r="B15" s="27" t="s">
        <v>122</v>
      </c>
      <c r="C15" s="27" t="s">
        <v>124</v>
      </c>
      <c r="D15" s="30">
        <v>53.0</v>
      </c>
      <c r="E15" s="30">
        <v>75.0</v>
      </c>
      <c r="F15" s="30">
        <v>50.0</v>
      </c>
      <c r="G15" s="30">
        <v>90.0</v>
      </c>
      <c r="H15" s="40">
        <f t="shared" si="1"/>
        <v>40</v>
      </c>
      <c r="I15" s="40">
        <f t="shared" si="2"/>
        <v>71.66666667</v>
      </c>
      <c r="J15" s="27" t="s">
        <v>128</v>
      </c>
    </row>
    <row r="16">
      <c r="B16" s="47" t="s">
        <v>129</v>
      </c>
      <c r="C16" s="47" t="s">
        <v>130</v>
      </c>
      <c r="D16" s="63">
        <f t="shared" ref="D16:G16" si="3">D14-D15</f>
        <v>345</v>
      </c>
      <c r="E16" s="52">
        <f t="shared" si="3"/>
        <v>210</v>
      </c>
      <c r="F16" s="52">
        <f t="shared" si="3"/>
        <v>315</v>
      </c>
      <c r="G16" s="52">
        <f t="shared" si="3"/>
        <v>690</v>
      </c>
      <c r="H16" s="52">
        <f t="shared" si="1"/>
        <v>480</v>
      </c>
      <c r="I16" s="52">
        <f t="shared" si="2"/>
        <v>405</v>
      </c>
      <c r="J16" s="47" t="s">
        <v>140</v>
      </c>
    </row>
    <row r="17">
      <c r="B17" s="47" t="s">
        <v>141</v>
      </c>
      <c r="C17" s="47" t="s">
        <v>142</v>
      </c>
      <c r="D17" s="70">
        <f t="shared" ref="D17:G17" si="4">D14/D11</f>
        <v>0.9590361446</v>
      </c>
      <c r="E17" s="71">
        <f t="shared" si="4"/>
        <v>0.8558558559</v>
      </c>
      <c r="F17" s="71">
        <f t="shared" si="4"/>
        <v>0.869047619</v>
      </c>
      <c r="G17" s="71">
        <f t="shared" si="4"/>
        <v>0.8934707904</v>
      </c>
      <c r="H17" s="71">
        <f t="shared" si="1"/>
        <v>0.1031802887</v>
      </c>
      <c r="I17" s="71">
        <f t="shared" si="2"/>
        <v>0.8727914218</v>
      </c>
      <c r="J17" s="47" t="s">
        <v>153</v>
      </c>
    </row>
    <row r="18">
      <c r="B18" s="47" t="s">
        <v>155</v>
      </c>
      <c r="C18" s="47" t="s">
        <v>158</v>
      </c>
      <c r="D18" s="70">
        <f t="shared" ref="D18:G18" si="5">D16/D11</f>
        <v>0.8313253012</v>
      </c>
      <c r="E18" s="71">
        <f t="shared" si="5"/>
        <v>0.6306306306</v>
      </c>
      <c r="F18" s="71">
        <f t="shared" si="5"/>
        <v>0.75</v>
      </c>
      <c r="G18" s="71">
        <f t="shared" si="5"/>
        <v>0.7903780069</v>
      </c>
      <c r="H18" s="71">
        <f t="shared" si="1"/>
        <v>0.2006946706</v>
      </c>
      <c r="I18" s="71">
        <f t="shared" si="2"/>
        <v>0.7236695458</v>
      </c>
      <c r="J18" s="47" t="s">
        <v>180</v>
      </c>
    </row>
    <row r="19">
      <c r="B19" s="27" t="s">
        <v>182</v>
      </c>
      <c r="C19" s="27" t="s">
        <v>185</v>
      </c>
      <c r="D19" s="79">
        <f t="shared" ref="D19:G19" si="6">D15/D9</f>
        <v>0.03973013493</v>
      </c>
      <c r="E19" s="79">
        <f t="shared" si="6"/>
        <v>0.06874427131</v>
      </c>
      <c r="F19" s="79">
        <f t="shared" si="6"/>
        <v>0.04621072089</v>
      </c>
      <c r="G19" s="79">
        <f t="shared" si="6"/>
        <v>0.05747126437</v>
      </c>
      <c r="H19" s="79">
        <f t="shared" si="1"/>
        <v>0.02901413638</v>
      </c>
      <c r="I19" s="79">
        <f t="shared" si="2"/>
        <v>0.05747541886</v>
      </c>
      <c r="J19" s="27" t="s">
        <v>199</v>
      </c>
    </row>
    <row r="20">
      <c r="B20" s="27" t="s">
        <v>201</v>
      </c>
      <c r="C20" s="27" t="s">
        <v>203</v>
      </c>
      <c r="D20" s="82">
        <v>0.65</v>
      </c>
      <c r="E20" s="82">
        <v>0.5</v>
      </c>
      <c r="F20" s="82">
        <v>0.52</v>
      </c>
      <c r="G20" s="82">
        <v>0.15</v>
      </c>
      <c r="H20" s="79">
        <f t="shared" si="1"/>
        <v>0.5</v>
      </c>
      <c r="I20" s="79">
        <f t="shared" si="2"/>
        <v>0.39</v>
      </c>
      <c r="J20" s="27" t="s">
        <v>214</v>
      </c>
    </row>
    <row r="22">
      <c r="B22" s="13" t="s">
        <v>217</v>
      </c>
      <c r="C22" s="12"/>
      <c r="D22" s="12"/>
      <c r="E22" s="12"/>
      <c r="F22" s="12"/>
      <c r="G22" s="12"/>
      <c r="H22" s="12"/>
      <c r="I22" s="12"/>
      <c r="J22" s="15"/>
    </row>
    <row r="23">
      <c r="B23" s="19" t="s">
        <v>40</v>
      </c>
      <c r="C23" s="19" t="s">
        <v>222</v>
      </c>
      <c r="D23" s="19" t="s">
        <v>223</v>
      </c>
      <c r="E23" s="19" t="s">
        <v>224</v>
      </c>
      <c r="F23" s="19" t="s">
        <v>225</v>
      </c>
      <c r="G23" s="19" t="s">
        <v>226</v>
      </c>
      <c r="H23" s="19" t="s">
        <v>227</v>
      </c>
      <c r="I23" s="19" t="s">
        <v>228</v>
      </c>
      <c r="J23" s="19" t="s">
        <v>229</v>
      </c>
    </row>
    <row r="24">
      <c r="B24" s="75" t="s">
        <v>60</v>
      </c>
      <c r="C24" s="75" t="s">
        <v>232</v>
      </c>
      <c r="D24" s="75" t="s">
        <v>234</v>
      </c>
      <c r="E24" s="75" t="s">
        <v>235</v>
      </c>
      <c r="F24" s="75" t="s">
        <v>237</v>
      </c>
      <c r="G24" s="75" t="s">
        <v>239</v>
      </c>
      <c r="H24" s="75" t="s">
        <v>240</v>
      </c>
      <c r="I24" s="75" t="s">
        <v>241</v>
      </c>
      <c r="J24" s="75" t="s">
        <v>242</v>
      </c>
    </row>
    <row r="25">
      <c r="B25" s="74" t="s">
        <v>29</v>
      </c>
      <c r="C25" s="74" t="s">
        <v>244</v>
      </c>
      <c r="D25" s="74" t="s">
        <v>245</v>
      </c>
      <c r="E25" s="74" t="s">
        <v>246</v>
      </c>
      <c r="F25" s="74" t="s">
        <v>247</v>
      </c>
      <c r="G25" s="74" t="s">
        <v>248</v>
      </c>
      <c r="H25" s="74" t="s">
        <v>249</v>
      </c>
      <c r="I25" s="74" t="s">
        <v>250</v>
      </c>
      <c r="J25" s="74" t="s">
        <v>251</v>
      </c>
    </row>
    <row r="26">
      <c r="B26" s="74" t="s">
        <v>30</v>
      </c>
      <c r="C26" s="74" t="s">
        <v>253</v>
      </c>
      <c r="D26" s="74" t="s">
        <v>254</v>
      </c>
      <c r="E26" s="74" t="s">
        <v>256</v>
      </c>
      <c r="F26" s="74" t="s">
        <v>257</v>
      </c>
      <c r="G26" s="74" t="s">
        <v>258</v>
      </c>
      <c r="H26" s="74" t="s">
        <v>260</v>
      </c>
      <c r="I26" s="74" t="s">
        <v>262</v>
      </c>
      <c r="J26" s="74" t="s">
        <v>264</v>
      </c>
    </row>
    <row r="27">
      <c r="B27" s="74" t="s">
        <v>31</v>
      </c>
      <c r="C27" s="74" t="s">
        <v>267</v>
      </c>
      <c r="D27" s="74" t="s">
        <v>268</v>
      </c>
      <c r="E27" s="74" t="s">
        <v>269</v>
      </c>
      <c r="F27" s="74" t="s">
        <v>271</v>
      </c>
      <c r="G27" s="74" t="s">
        <v>272</v>
      </c>
      <c r="H27" s="74" t="s">
        <v>273</v>
      </c>
      <c r="I27" s="74" t="s">
        <v>274</v>
      </c>
      <c r="J27" s="74" t="s">
        <v>275</v>
      </c>
    </row>
    <row r="29">
      <c r="B29" s="13" t="s">
        <v>277</v>
      </c>
      <c r="C29" s="12"/>
      <c r="D29" s="12"/>
      <c r="E29" s="12"/>
      <c r="F29" s="12"/>
      <c r="G29" s="12"/>
      <c r="H29" s="12"/>
      <c r="I29" s="12"/>
      <c r="J29" s="15"/>
    </row>
    <row r="30">
      <c r="B30" s="19" t="s">
        <v>40</v>
      </c>
      <c r="C30" s="19" t="s">
        <v>280</v>
      </c>
      <c r="D30" s="19" t="s">
        <v>281</v>
      </c>
      <c r="E30" s="19" t="s">
        <v>283</v>
      </c>
      <c r="F30" s="19" t="s">
        <v>284</v>
      </c>
      <c r="G30" s="19" t="s">
        <v>286</v>
      </c>
      <c r="H30" s="19" t="s">
        <v>288</v>
      </c>
      <c r="I30" s="19" t="s">
        <v>289</v>
      </c>
      <c r="J30" s="19" t="s">
        <v>291</v>
      </c>
    </row>
    <row r="31">
      <c r="B31" s="75" t="s">
        <v>60</v>
      </c>
      <c r="C31" s="75" t="s">
        <v>293</v>
      </c>
      <c r="D31" s="75" t="s">
        <v>295</v>
      </c>
      <c r="E31" s="75" t="s">
        <v>296</v>
      </c>
      <c r="F31" s="75" t="s">
        <v>298</v>
      </c>
      <c r="G31" s="95">
        <v>18.5</v>
      </c>
      <c r="H31" s="75" t="s">
        <v>305</v>
      </c>
      <c r="I31" s="75" t="s">
        <v>307</v>
      </c>
      <c r="J31" s="75" t="s">
        <v>308</v>
      </c>
    </row>
    <row r="32">
      <c r="B32" s="74" t="s">
        <v>29</v>
      </c>
      <c r="C32" s="74" t="s">
        <v>309</v>
      </c>
      <c r="D32" s="74" t="s">
        <v>310</v>
      </c>
      <c r="E32" s="74" t="s">
        <v>311</v>
      </c>
      <c r="F32" s="74" t="s">
        <v>312</v>
      </c>
      <c r="G32" s="98">
        <v>42.0</v>
      </c>
      <c r="H32" s="74" t="s">
        <v>314</v>
      </c>
      <c r="I32" s="74" t="s">
        <v>315</v>
      </c>
      <c r="J32" s="74" t="s">
        <v>316</v>
      </c>
    </row>
    <row r="33">
      <c r="B33" s="74" t="s">
        <v>30</v>
      </c>
      <c r="C33" s="74" t="s">
        <v>318</v>
      </c>
      <c r="D33" s="74" t="s">
        <v>319</v>
      </c>
      <c r="E33" s="74" t="s">
        <v>320</v>
      </c>
      <c r="F33" s="74" t="s">
        <v>321</v>
      </c>
      <c r="G33" s="98">
        <v>28.4</v>
      </c>
      <c r="H33" s="74" t="s">
        <v>322</v>
      </c>
      <c r="I33" s="74" t="s">
        <v>323</v>
      </c>
      <c r="J33" s="74" t="s">
        <v>324</v>
      </c>
    </row>
    <row r="34">
      <c r="B34" s="74" t="s">
        <v>31</v>
      </c>
      <c r="C34" s="74" t="s">
        <v>325</v>
      </c>
      <c r="D34" s="74" t="s">
        <v>327</v>
      </c>
      <c r="E34" s="74" t="s">
        <v>328</v>
      </c>
      <c r="F34" s="74" t="s">
        <v>329</v>
      </c>
      <c r="G34" s="98">
        <v>185.0</v>
      </c>
      <c r="H34" s="74" t="s">
        <v>332</v>
      </c>
      <c r="I34" s="74" t="s">
        <v>334</v>
      </c>
      <c r="J34" s="74" t="s">
        <v>336</v>
      </c>
    </row>
  </sheetData>
  <mergeCells count="6">
    <mergeCell ref="B2:J2"/>
    <mergeCell ref="B3:J3"/>
    <mergeCell ref="B4:J4"/>
    <mergeCell ref="B7:J7"/>
    <mergeCell ref="B22:J22"/>
    <mergeCell ref="B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1A1A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6.38"/>
    <col customWidth="1" min="3" max="3" width="15.13"/>
    <col customWidth="1" min="4" max="4" width="18.88"/>
    <col customWidth="1" min="5" max="5" width="33.88"/>
    <col customWidth="1" min="6" max="7" width="15.75"/>
    <col customWidth="1" min="8" max="9" width="13.25"/>
    <col customWidth="1" min="10" max="11" width="15.13"/>
  </cols>
  <sheetData>
    <row r="2">
      <c r="B2" s="1" t="s">
        <v>10</v>
      </c>
    </row>
    <row r="3">
      <c r="B3" s="2" t="s">
        <v>12</v>
      </c>
    </row>
    <row r="4">
      <c r="B4" s="3" t="s">
        <v>15</v>
      </c>
    </row>
    <row r="6">
      <c r="B6" s="11"/>
      <c r="C6" s="12"/>
      <c r="D6" s="12"/>
      <c r="E6" s="12"/>
      <c r="F6" s="12"/>
      <c r="G6" s="12"/>
      <c r="H6" s="12"/>
      <c r="I6" s="12"/>
      <c r="J6" s="12"/>
      <c r="K6" s="15"/>
    </row>
    <row r="7">
      <c r="B7" s="19" t="s">
        <v>21</v>
      </c>
      <c r="C7" s="21"/>
      <c r="D7" s="21"/>
      <c r="E7" s="21"/>
      <c r="F7" s="21"/>
      <c r="G7" s="21"/>
      <c r="H7" s="21"/>
      <c r="I7" s="21"/>
      <c r="J7" s="21"/>
      <c r="K7" s="21"/>
    </row>
    <row r="8">
      <c r="B8" s="32" t="s">
        <v>40</v>
      </c>
      <c r="C8" s="33" t="s">
        <v>43</v>
      </c>
      <c r="D8" s="32" t="s">
        <v>46</v>
      </c>
      <c r="E8" s="32" t="s">
        <v>48</v>
      </c>
      <c r="F8" s="33" t="s">
        <v>49</v>
      </c>
      <c r="G8" s="33" t="s">
        <v>51</v>
      </c>
      <c r="H8" s="33" t="s">
        <v>52</v>
      </c>
      <c r="I8" s="34" t="s">
        <v>53</v>
      </c>
      <c r="J8" s="33" t="s">
        <v>54</v>
      </c>
      <c r="K8" s="36" t="s">
        <v>55</v>
      </c>
    </row>
    <row r="9">
      <c r="B9" s="38" t="s">
        <v>60</v>
      </c>
      <c r="C9" s="39">
        <v>675.45</v>
      </c>
      <c r="D9" s="38" t="s">
        <v>70</v>
      </c>
      <c r="E9" s="38" t="s">
        <v>72</v>
      </c>
      <c r="F9" s="39">
        <v>1645.0</v>
      </c>
      <c r="G9" s="39">
        <v>548.0</v>
      </c>
      <c r="H9" s="39">
        <v>22.05</v>
      </c>
      <c r="I9" s="41">
        <v>42.63</v>
      </c>
      <c r="J9" s="39">
        <v>940.0</v>
      </c>
      <c r="K9" s="43">
        <f t="shared" ref="K9:K20" si="1">(J9-C9)/C9</f>
        <v>0.391664816</v>
      </c>
    </row>
    <row r="10">
      <c r="B10" s="32" t="s">
        <v>60</v>
      </c>
      <c r="C10" s="33">
        <v>675.45</v>
      </c>
      <c r="D10" s="32" t="s">
        <v>86</v>
      </c>
      <c r="E10" s="32" t="s">
        <v>87</v>
      </c>
      <c r="F10" s="33">
        <v>1548.0</v>
      </c>
      <c r="G10" s="33">
        <v>495.0</v>
      </c>
      <c r="H10" s="33">
        <v>19.92</v>
      </c>
      <c r="I10" s="34">
        <v>41.42</v>
      </c>
      <c r="J10" s="33">
        <v>825.0</v>
      </c>
      <c r="K10" s="44">
        <f t="shared" si="1"/>
        <v>0.2214079503</v>
      </c>
    </row>
    <row r="11">
      <c r="B11" s="27" t="s">
        <v>60</v>
      </c>
      <c r="C11" s="30">
        <v>675.45</v>
      </c>
      <c r="D11" s="27" t="s">
        <v>98</v>
      </c>
      <c r="E11" s="27" t="s">
        <v>99</v>
      </c>
      <c r="F11" s="30">
        <v>1442.0</v>
      </c>
      <c r="G11" s="30">
        <v>432.0</v>
      </c>
      <c r="H11" s="30">
        <v>17.38</v>
      </c>
      <c r="I11" s="46">
        <v>35.39</v>
      </c>
      <c r="J11" s="30">
        <v>615.0</v>
      </c>
      <c r="K11" s="48">
        <f t="shared" si="1"/>
        <v>-0.08949589163</v>
      </c>
    </row>
    <row r="12">
      <c r="B12" s="27" t="s">
        <v>29</v>
      </c>
      <c r="C12" s="30">
        <v>864.15</v>
      </c>
      <c r="D12" s="27" t="s">
        <v>70</v>
      </c>
      <c r="E12" s="27" t="s">
        <v>108</v>
      </c>
      <c r="F12" s="30">
        <v>1360.0</v>
      </c>
      <c r="G12" s="30">
        <v>440.0</v>
      </c>
      <c r="H12" s="30">
        <v>25.46</v>
      </c>
      <c r="I12" s="46">
        <v>34.96</v>
      </c>
      <c r="J12" s="30">
        <v>890.0</v>
      </c>
      <c r="K12" s="48">
        <f t="shared" si="1"/>
        <v>0.02991378812</v>
      </c>
    </row>
    <row r="13">
      <c r="B13" s="27" t="s">
        <v>29</v>
      </c>
      <c r="C13" s="30">
        <v>864.15</v>
      </c>
      <c r="D13" s="27" t="s">
        <v>111</v>
      </c>
      <c r="E13" s="27" t="s">
        <v>113</v>
      </c>
      <c r="F13" s="30">
        <v>1250.0</v>
      </c>
      <c r="G13" s="30">
        <v>380.0</v>
      </c>
      <c r="H13" s="30">
        <v>21.99</v>
      </c>
      <c r="I13" s="46">
        <v>32.11</v>
      </c>
      <c r="J13" s="30">
        <v>706.0</v>
      </c>
      <c r="K13" s="48">
        <f t="shared" si="1"/>
        <v>-0.1830122085</v>
      </c>
    </row>
    <row r="14">
      <c r="B14" s="27" t="s">
        <v>29</v>
      </c>
      <c r="C14" s="30">
        <v>864.15</v>
      </c>
      <c r="D14" s="27" t="s">
        <v>98</v>
      </c>
      <c r="E14" s="27" t="s">
        <v>117</v>
      </c>
      <c r="F14" s="30">
        <v>1110.0</v>
      </c>
      <c r="G14" s="30">
        <v>300.0</v>
      </c>
      <c r="H14" s="30">
        <v>17.36</v>
      </c>
      <c r="I14" s="46">
        <v>24.54</v>
      </c>
      <c r="J14" s="30">
        <v>426.0</v>
      </c>
      <c r="K14" s="48">
        <f t="shared" si="1"/>
        <v>-0.5070300295</v>
      </c>
    </row>
    <row r="15">
      <c r="B15" s="27" t="s">
        <v>30</v>
      </c>
      <c r="C15" s="30">
        <v>1224.2</v>
      </c>
      <c r="D15" s="27" t="s">
        <v>70</v>
      </c>
      <c r="E15" s="27" t="s">
        <v>123</v>
      </c>
      <c r="F15" s="30">
        <v>1350.0</v>
      </c>
      <c r="G15" s="30">
        <v>580.0</v>
      </c>
      <c r="H15" s="30">
        <v>27.75</v>
      </c>
      <c r="I15" s="46">
        <v>39.64</v>
      </c>
      <c r="J15" s="30">
        <v>1100.0</v>
      </c>
      <c r="K15" s="48">
        <f t="shared" si="1"/>
        <v>-0.1014540108</v>
      </c>
    </row>
    <row r="16">
      <c r="B16" s="27" t="s">
        <v>30</v>
      </c>
      <c r="C16" s="30">
        <v>1224.2</v>
      </c>
      <c r="D16" s="27" t="s">
        <v>111</v>
      </c>
      <c r="E16" s="27" t="s">
        <v>127</v>
      </c>
      <c r="F16" s="30">
        <v>1200.0</v>
      </c>
      <c r="G16" s="30">
        <v>480.0</v>
      </c>
      <c r="H16" s="30">
        <v>22.97</v>
      </c>
      <c r="I16" s="46">
        <v>37.57</v>
      </c>
      <c r="J16" s="30">
        <v>863.0</v>
      </c>
      <c r="K16" s="48">
        <f t="shared" si="1"/>
        <v>-0.2950498285</v>
      </c>
    </row>
    <row r="17">
      <c r="B17" s="27" t="s">
        <v>30</v>
      </c>
      <c r="C17" s="30">
        <v>1224.2</v>
      </c>
      <c r="D17" s="27" t="s">
        <v>98</v>
      </c>
      <c r="E17" s="27" t="s">
        <v>131</v>
      </c>
      <c r="F17" s="30">
        <v>920.0</v>
      </c>
      <c r="G17" s="30">
        <v>320.0</v>
      </c>
      <c r="H17" s="30">
        <v>15.31</v>
      </c>
      <c r="I17" s="46">
        <v>35.01</v>
      </c>
      <c r="J17" s="30">
        <v>536.0</v>
      </c>
      <c r="K17" s="48">
        <f t="shared" si="1"/>
        <v>-0.5621630453</v>
      </c>
    </row>
    <row r="18">
      <c r="B18" s="27" t="s">
        <v>31</v>
      </c>
      <c r="C18" s="30">
        <v>3466.0</v>
      </c>
      <c r="D18" s="27" t="s">
        <v>70</v>
      </c>
      <c r="E18" s="27" t="s">
        <v>134</v>
      </c>
      <c r="F18" s="30">
        <v>2150.0</v>
      </c>
      <c r="G18" s="30">
        <v>1280.0</v>
      </c>
      <c r="H18" s="30">
        <v>31.39</v>
      </c>
      <c r="I18" s="46">
        <v>101.94</v>
      </c>
      <c r="J18" s="30">
        <v>3200.0</v>
      </c>
      <c r="K18" s="48">
        <f t="shared" si="1"/>
        <v>-0.07674552799</v>
      </c>
    </row>
    <row r="19">
      <c r="B19" s="27" t="s">
        <v>31</v>
      </c>
      <c r="C19" s="30">
        <v>3466.0</v>
      </c>
      <c r="D19" s="27" t="s">
        <v>111</v>
      </c>
      <c r="E19" s="27" t="s">
        <v>136</v>
      </c>
      <c r="F19" s="30">
        <v>1800.0</v>
      </c>
      <c r="G19" s="30">
        <v>1020.0</v>
      </c>
      <c r="H19" s="30">
        <v>25.01</v>
      </c>
      <c r="I19" s="46">
        <v>97.76</v>
      </c>
      <c r="J19" s="30">
        <v>2445.0</v>
      </c>
      <c r="K19" s="48">
        <f t="shared" si="1"/>
        <v>-0.29457588</v>
      </c>
    </row>
    <row r="20">
      <c r="B20" s="26" t="s">
        <v>31</v>
      </c>
      <c r="C20" s="31">
        <v>3466.0</v>
      </c>
      <c r="D20" s="26" t="s">
        <v>98</v>
      </c>
      <c r="E20" s="26" t="s">
        <v>143</v>
      </c>
      <c r="F20" s="31">
        <v>1280.0</v>
      </c>
      <c r="G20" s="31">
        <v>650.0</v>
      </c>
      <c r="H20" s="31">
        <v>15.94</v>
      </c>
      <c r="I20" s="67">
        <v>130.49</v>
      </c>
      <c r="J20" s="31">
        <v>2080.0</v>
      </c>
      <c r="K20" s="69">
        <f t="shared" si="1"/>
        <v>-0.3998845932</v>
      </c>
    </row>
    <row r="21">
      <c r="B21" s="11"/>
      <c r="C21" s="12"/>
      <c r="D21" s="12"/>
      <c r="E21" s="12"/>
      <c r="F21" s="12"/>
      <c r="G21" s="12"/>
      <c r="H21" s="15"/>
    </row>
    <row r="22">
      <c r="B22" s="19" t="s">
        <v>151</v>
      </c>
      <c r="C22" s="21"/>
      <c r="D22" s="21"/>
      <c r="E22" s="21"/>
      <c r="F22" s="21"/>
      <c r="G22" s="21"/>
      <c r="H22" s="21"/>
    </row>
    <row r="23">
      <c r="B23" s="74" t="s">
        <v>156</v>
      </c>
      <c r="C23" s="74" t="s">
        <v>159</v>
      </c>
      <c r="D23" s="75" t="s">
        <v>160</v>
      </c>
      <c r="E23" s="74" t="s">
        <v>161</v>
      </c>
      <c r="F23" s="74" t="s">
        <v>162</v>
      </c>
      <c r="G23" s="74" t="s">
        <v>163</v>
      </c>
      <c r="H23" s="74" t="s">
        <v>164</v>
      </c>
    </row>
    <row r="24">
      <c r="B24" s="74" t="s">
        <v>165</v>
      </c>
      <c r="C24" s="74" t="s">
        <v>166</v>
      </c>
      <c r="D24" s="75" t="s">
        <v>167</v>
      </c>
      <c r="E24" s="74" t="s">
        <v>168</v>
      </c>
      <c r="F24" s="74" t="s">
        <v>169</v>
      </c>
      <c r="G24" s="74" t="s">
        <v>170</v>
      </c>
      <c r="H24" s="74" t="s">
        <v>171</v>
      </c>
    </row>
    <row r="25">
      <c r="B25" s="74" t="s">
        <v>172</v>
      </c>
      <c r="C25" s="74" t="s">
        <v>173</v>
      </c>
      <c r="D25" s="75" t="s">
        <v>175</v>
      </c>
      <c r="E25" s="74" t="s">
        <v>176</v>
      </c>
      <c r="F25" s="74" t="s">
        <v>177</v>
      </c>
      <c r="G25" s="74" t="s">
        <v>179</v>
      </c>
      <c r="H25" s="74" t="s">
        <v>181</v>
      </c>
    </row>
    <row r="26">
      <c r="B26" s="7" t="s">
        <v>183</v>
      </c>
      <c r="C26" s="7" t="s">
        <v>186</v>
      </c>
      <c r="D26" s="7" t="s">
        <v>187</v>
      </c>
      <c r="E26" s="7" t="s">
        <v>188</v>
      </c>
      <c r="F26" s="7" t="s">
        <v>189</v>
      </c>
      <c r="G26" s="7" t="s">
        <v>190</v>
      </c>
      <c r="H26" s="7" t="s">
        <v>191</v>
      </c>
    </row>
    <row r="27">
      <c r="B27" s="78"/>
    </row>
    <row r="28">
      <c r="B28" s="80" t="s">
        <v>192</v>
      </c>
    </row>
    <row r="29">
      <c r="B29" s="7" t="s">
        <v>195</v>
      </c>
    </row>
    <row r="30">
      <c r="B30" s="22" t="s">
        <v>197</v>
      </c>
      <c r="C30" s="12"/>
      <c r="D30" s="12"/>
      <c r="E30" s="12"/>
      <c r="F30" s="12"/>
      <c r="G30" s="15"/>
    </row>
    <row r="31">
      <c r="B31" s="84" t="s">
        <v>205</v>
      </c>
      <c r="C31" s="85">
        <v>0.055</v>
      </c>
      <c r="D31" s="85">
        <v>0.06</v>
      </c>
      <c r="E31" s="84" t="s">
        <v>212</v>
      </c>
      <c r="F31" s="85">
        <v>0.07</v>
      </c>
      <c r="G31" s="85">
        <v>0.075</v>
      </c>
    </row>
    <row r="32">
      <c r="B32" s="86">
        <v>0.105</v>
      </c>
      <c r="C32" s="91">
        <f>ROUND((2485+(919*(1+0.055)/(0.105-0.055))/((1+0.105)^5)+6700)/24.85, 2)</f>
        <v>843.27</v>
      </c>
      <c r="D32" s="91">
        <f>ROUND((2485+(919*(1+0.06)/(0.105-0.06))/((1+0.105)^5)+6700)/24.85, 2)</f>
        <v>898.39</v>
      </c>
      <c r="E32" s="91">
        <f>ROUND((2485+(919*(1+0.065)/(0.105-0.065))/((1+0.105)^5)+6700)/24.85, 2)</f>
        <v>967.3</v>
      </c>
      <c r="F32" s="91">
        <f>ROUND((2485+(919*(1+0.07)/(0.105-0.07))/((1+0.105)^5)+6700)/24.85, 2)</f>
        <v>1055.89</v>
      </c>
      <c r="G32" s="91">
        <f>ROUND((2485+(919*(1+0.075)/(0.105-0.075))/((1+0.105)^5)+6700)/24.85, 2)</f>
        <v>1174</v>
      </c>
      <c r="H32" s="99"/>
      <c r="I32" s="99"/>
      <c r="K32" s="99"/>
    </row>
    <row r="33">
      <c r="B33" s="86">
        <v>0.11</v>
      </c>
      <c r="C33" s="101">
        <f>ROUND((2485+(919*(1+0.055)/(0.11-0.055))/((1+0.11)^5)+6700)/24.85, 2)</f>
        <v>790.6</v>
      </c>
      <c r="D33" s="101">
        <f>ROUND((2485+(919*(1+0.06)/(0.11-0.06))/((1+0.11)^5)+6700)/24.85, 2)</f>
        <v>834.89</v>
      </c>
      <c r="E33" s="101">
        <f>ROUND((2485+(919*(1+0.065)/(0.11-0.065))/((1+0.11)^5)+6700)/24.85, 2)</f>
        <v>889.03</v>
      </c>
      <c r="F33" s="101">
        <f>ROUND((2485+(919*(1+0.07)/(0.11-0.07))/((1+0.11)^5)+6700)/24.85, 2)</f>
        <v>956.7</v>
      </c>
      <c r="G33" s="91">
        <f>ROUND((2485+(919*(1+0.075)/(0.11-0.075))/((1+0.11)^5)+6700)/24.85, 2)</f>
        <v>1043.7</v>
      </c>
    </row>
    <row r="34">
      <c r="B34" s="102" t="s">
        <v>376</v>
      </c>
      <c r="C34" s="101">
        <f>ROUND((2485+(919*(1+0.055)/(0.115-0.055))/((1+0.115)^5)+6700)/24.85, 2)</f>
        <v>746.94</v>
      </c>
      <c r="D34" s="101">
        <f>ROUND((2485+(919*(1+0.06)/(0.115-0.06))/((1+0.115)^5)+6700)/24.85, 2)</f>
        <v>783.2</v>
      </c>
      <c r="E34" s="103">
        <f>ROUND((2485+(919*(1+0.065)/(0.115-0.065))/((1+0.115)^5)+6700)/24.85, 2)</f>
        <v>826.7</v>
      </c>
      <c r="F34" s="101">
        <f>ROUND((2485+(919*(1+0.07)/(0.115-0.07))/((1+0.115)^5)+6700)/24.85, 2)</f>
        <v>879.87</v>
      </c>
      <c r="G34" s="91">
        <f>ROUND((2485+(919*(1+0.075)/(0.115-0.075))/((1+0.115)^5)+6700)/24.85, 2)</f>
        <v>946.34</v>
      </c>
    </row>
    <row r="35">
      <c r="B35" s="86">
        <v>0.12</v>
      </c>
      <c r="C35" s="101">
        <f>ROUND((2485+(919*(1+0.055)/(0.12-0.055))/((1+0.12)^5)+6700)/24.85, 2)</f>
        <v>710.21</v>
      </c>
      <c r="D35" s="101">
        <f>ROUND((2485+(919*(1+0.06)/(0.12-0.06))/((1+0.12)^5)+6700)/24.85, 2)</f>
        <v>740.34</v>
      </c>
      <c r="E35" s="101">
        <f>ROUND((2485+(919*(1+0.065)/(0.12-0.065))/((1+0.12)^5)+6700)/24.85, 2)</f>
        <v>775.95</v>
      </c>
      <c r="F35" s="101">
        <f>ROUND((2485+(919*(1+0.07)/(0.12-0.07))/((1+0.12)^5)+6700)/24.85, 2)</f>
        <v>818.69</v>
      </c>
      <c r="G35" s="91">
        <f>ROUND((2485+(919*(1+0.075)/(0.12-0.075))/((1+0.12)^5)+6700)/24.85, 2)</f>
        <v>870.91</v>
      </c>
    </row>
    <row r="36">
      <c r="B36" s="86">
        <v>0.125</v>
      </c>
      <c r="C36" s="101">
        <f>ROUND((2485+(919*(1+0.055)/(0.125-0.055))/((1+0.125)^5)+6700)/24.85, 2)</f>
        <v>678.92</v>
      </c>
      <c r="D36" s="101">
        <f>ROUND((2485+(919*(1+0.06)/(0.125-0.06))/((1+0.125)^5)+6700)/24.85, 2)</f>
        <v>704.29</v>
      </c>
      <c r="E36" s="101">
        <f>ROUND((2485+(919*(1+0.065)/(0.125-0.065))/((1+0.125)^5)+6700)/24.85, 2)</f>
        <v>733.89</v>
      </c>
      <c r="F36" s="101">
        <f>ROUND((2485+(919*(1+0.07)/(0.125-0.07))/((1+0.125)^5)+6700)/24.85, 2)</f>
        <v>768.87</v>
      </c>
      <c r="G36" s="91">
        <f>ROUND((2485+(919*(1+0.075)/(0.125-0.075))/((1+0.125)^5)+6700)/24.85, 2)</f>
        <v>810.85</v>
      </c>
    </row>
    <row r="37">
      <c r="B37" s="99"/>
      <c r="G37" s="99"/>
    </row>
    <row r="38">
      <c r="B38" s="22" t="s">
        <v>396</v>
      </c>
      <c r="C38" s="12"/>
      <c r="D38" s="12"/>
      <c r="E38" s="12"/>
      <c r="F38" s="12"/>
      <c r="G38" s="15"/>
    </row>
    <row r="39">
      <c r="B39" s="84" t="s">
        <v>205</v>
      </c>
      <c r="C39" s="85">
        <v>0.055</v>
      </c>
      <c r="D39" s="85">
        <v>0.06</v>
      </c>
      <c r="E39" s="84" t="s">
        <v>212</v>
      </c>
      <c r="F39" s="85">
        <v>0.07</v>
      </c>
      <c r="G39" s="85">
        <v>0.075</v>
      </c>
    </row>
    <row r="40">
      <c r="B40" s="86">
        <v>0.105</v>
      </c>
      <c r="C40" s="105">
        <f t="shared" ref="C40:G40" si="2">(C32-675.45)/675.45</f>
        <v>0.2484565845</v>
      </c>
      <c r="D40" s="105">
        <f t="shared" si="2"/>
        <v>0.3300614405</v>
      </c>
      <c r="E40" s="105">
        <f t="shared" si="2"/>
        <v>0.4320823155</v>
      </c>
      <c r="F40" s="105">
        <f t="shared" si="2"/>
        <v>0.5632393219</v>
      </c>
      <c r="G40" s="105">
        <f t="shared" si="2"/>
        <v>0.7381005256</v>
      </c>
    </row>
    <row r="41">
      <c r="B41" s="86">
        <v>0.11</v>
      </c>
      <c r="C41" s="105">
        <f t="shared" ref="C41:G41" si="3">(C33-675.45)/675.45</f>
        <v>0.17047894</v>
      </c>
      <c r="D41" s="105">
        <f t="shared" si="3"/>
        <v>0.2360500407</v>
      </c>
      <c r="E41" s="105">
        <f t="shared" si="3"/>
        <v>0.3162040121</v>
      </c>
      <c r="F41" s="105">
        <f t="shared" si="3"/>
        <v>0.416389074</v>
      </c>
      <c r="G41" s="105">
        <f t="shared" si="3"/>
        <v>0.5451920942</v>
      </c>
    </row>
    <row r="42">
      <c r="B42" s="102" t="s">
        <v>376</v>
      </c>
      <c r="C42" s="105">
        <f t="shared" ref="C42:G42" si="4">(C34-675.45)/675.45</f>
        <v>0.1058405507</v>
      </c>
      <c r="D42" s="105">
        <f t="shared" si="4"/>
        <v>0.1595232808</v>
      </c>
      <c r="E42" s="109">
        <f t="shared" si="4"/>
        <v>0.2239247909</v>
      </c>
      <c r="F42" s="105">
        <f t="shared" si="4"/>
        <v>0.3026426827</v>
      </c>
      <c r="G42" s="105">
        <f t="shared" si="4"/>
        <v>0.4010511511</v>
      </c>
    </row>
    <row r="43">
      <c r="B43" s="86">
        <v>0.12</v>
      </c>
      <c r="C43" s="105">
        <f t="shared" ref="C43:G43" si="5">(C35-675.45)/675.45</f>
        <v>0.0514619883</v>
      </c>
      <c r="D43" s="105">
        <f t="shared" si="5"/>
        <v>0.09606928714</v>
      </c>
      <c r="E43" s="105">
        <f t="shared" si="5"/>
        <v>0.1487896958</v>
      </c>
      <c r="F43" s="105">
        <f t="shared" si="5"/>
        <v>0.2120660301</v>
      </c>
      <c r="G43" s="105">
        <f t="shared" si="5"/>
        <v>0.2893774521</v>
      </c>
    </row>
    <row r="44">
      <c r="B44" s="86">
        <v>0.125</v>
      </c>
      <c r="C44" s="105">
        <f t="shared" ref="C44:G44" si="6">(C36-675.45)/675.45</f>
        <v>0.005137315863</v>
      </c>
      <c r="D44" s="105">
        <f t="shared" si="6"/>
        <v>0.04269746095</v>
      </c>
      <c r="E44" s="105">
        <f t="shared" si="6"/>
        <v>0.08652009771</v>
      </c>
      <c r="F44" s="105">
        <f t="shared" si="6"/>
        <v>0.1383077948</v>
      </c>
      <c r="G44" s="105">
        <f t="shared" si="6"/>
        <v>0.2004589533</v>
      </c>
    </row>
    <row r="46">
      <c r="B46" s="110" t="s">
        <v>403</v>
      </c>
      <c r="C46" s="12"/>
      <c r="D46" s="12"/>
      <c r="E46" s="12"/>
      <c r="F46" s="12"/>
      <c r="G46" s="15"/>
    </row>
  </sheetData>
  <mergeCells count="10">
    <mergeCell ref="B30:G30"/>
    <mergeCell ref="B38:G38"/>
    <mergeCell ref="B46:G46"/>
    <mergeCell ref="B2:K2"/>
    <mergeCell ref="B3:K3"/>
    <mergeCell ref="B4:K4"/>
    <mergeCell ref="B6:K6"/>
    <mergeCell ref="B21:H21"/>
    <mergeCell ref="B27:G27"/>
    <mergeCell ref="B28:G28"/>
  </mergeCells>
  <drawing r:id="rId1"/>
</worksheet>
</file>